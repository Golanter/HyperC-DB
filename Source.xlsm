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namedSheetViews/namedSheetView1.xml" ContentType="application/vnd.ms-excel.namedsheetview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olan\OneDrive\Документы\hyper\from scratch\"/>
    </mc:Choice>
  </mc:AlternateContent>
  <xr:revisionPtr revIDLastSave="0" documentId="13_ncr:1_{F5B5393F-BB53-43CA-848C-633BCB2933A2}" xr6:coauthVersionLast="36" xr6:coauthVersionMax="47" xr10:uidLastSave="{00000000-0000-0000-0000-000000000000}"/>
  <bookViews>
    <workbookView xWindow="0" yWindow="0" windowWidth="23040" windowHeight="9060" xr2:uid="{00000000-000D-0000-FFFF-FFFF00000000}"/>
  </bookViews>
  <sheets>
    <sheet name="Master Data" sheetId="1" r:id="rId1"/>
    <sheet name="Utilization Quantities" sheetId="2" r:id="rId2"/>
    <sheet name="Seasonality" sheetId="3" r:id="rId3"/>
  </sheets>
  <externalReferences>
    <externalReference r:id="rId4"/>
    <externalReference r:id="rId5"/>
  </externalReferences>
  <definedNames>
    <definedName name="_xlnm._FilterDatabase" localSheetId="0" hidden="1">'Master Data'!$B$2:$AO$14</definedName>
    <definedName name="MasterData">InputData[]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  <c r="H5" i="1"/>
  <c r="H6" i="1"/>
  <c r="H7" i="1"/>
  <c r="H4" i="1"/>
  <c r="AM9" i="1"/>
  <c r="AM10" i="1"/>
  <c r="AM11" i="1"/>
  <c r="AM12" i="1"/>
  <c r="AM13" i="1"/>
  <c r="AM4" i="1"/>
  <c r="AM5" i="1"/>
  <c r="AM6" i="1"/>
  <c r="AM7" i="1"/>
  <c r="AM8" i="1"/>
  <c r="AM3" i="1"/>
  <c r="BB3" i="1"/>
  <c r="BB4" i="1"/>
  <c r="BB5" i="1"/>
  <c r="BB6" i="1"/>
  <c r="BB7" i="1"/>
  <c r="BB8" i="1"/>
  <c r="BB9" i="1"/>
  <c r="BB10" i="1"/>
  <c r="BB11" i="1"/>
  <c r="BB12" i="1"/>
  <c r="BB13" i="1"/>
  <c r="BA3" i="1"/>
  <c r="BA4" i="1"/>
  <c r="BA5" i="1"/>
  <c r="BA6" i="1"/>
  <c r="BA7" i="1"/>
  <c r="BA9" i="1"/>
  <c r="BA10" i="1"/>
  <c r="BA11" i="1"/>
  <c r="AT3" i="1"/>
  <c r="AT4" i="1"/>
  <c r="AT5" i="1"/>
  <c r="AT6" i="1"/>
  <c r="AT7" i="1"/>
  <c r="AT8" i="1"/>
  <c r="AT9" i="1"/>
  <c r="AT10" i="1"/>
  <c r="AT11" i="1"/>
  <c r="AT12" i="1"/>
  <c r="AT13" i="1"/>
  <c r="AS3" i="1"/>
  <c r="AS4" i="1"/>
  <c r="AS5" i="1"/>
  <c r="AS6" i="1"/>
  <c r="AS7" i="1"/>
  <c r="AS8" i="1"/>
  <c r="AS9" i="1"/>
  <c r="AS10" i="1"/>
  <c r="AS11" i="1"/>
  <c r="AS12" i="1"/>
  <c r="AS13" i="1"/>
  <c r="AR3" i="1"/>
  <c r="AR4" i="1"/>
  <c r="AR5" i="1"/>
  <c r="AR6" i="1"/>
  <c r="AR7" i="1"/>
  <c r="AR8" i="1"/>
  <c r="AR9" i="1"/>
  <c r="AR10" i="1"/>
  <c r="AR11" i="1"/>
  <c r="AR12" i="1"/>
  <c r="AR13" i="1"/>
  <c r="AQ3" i="1"/>
  <c r="AQ4" i="1"/>
  <c r="AQ5" i="1"/>
  <c r="AQ6" i="1"/>
  <c r="AQ7" i="1"/>
  <c r="AQ8" i="1"/>
  <c r="AQ9" i="1"/>
  <c r="AQ10" i="1"/>
  <c r="AQ11" i="1"/>
  <c r="AQ12" i="1"/>
  <c r="AQ13" i="1"/>
  <c r="AL3" i="1"/>
  <c r="AL4" i="1"/>
  <c r="AL5" i="1"/>
  <c r="AL6" i="1"/>
  <c r="AL7" i="1"/>
  <c r="AL8" i="1"/>
  <c r="AL9" i="1"/>
  <c r="AL10" i="1"/>
  <c r="AL11" i="1"/>
  <c r="AL12" i="1"/>
  <c r="AL13" i="1"/>
  <c r="V3" i="1" l="1"/>
  <c r="V4" i="1"/>
  <c r="V5" i="1"/>
  <c r="V6" i="1"/>
  <c r="V7" i="1"/>
  <c r="V8" i="1"/>
  <c r="V9" i="1"/>
  <c r="V10" i="1"/>
  <c r="V11" i="1"/>
  <c r="V12" i="1"/>
  <c r="V13" i="1"/>
  <c r="U3" i="1"/>
  <c r="U4" i="1"/>
  <c r="U5" i="1"/>
  <c r="U6" i="1"/>
  <c r="U7" i="1"/>
  <c r="U8" i="1"/>
  <c r="U9" i="1"/>
  <c r="U10" i="1"/>
  <c r="U11" i="1"/>
  <c r="U12" i="1"/>
  <c r="U13" i="1"/>
  <c r="T3" i="1"/>
  <c r="T4" i="1"/>
  <c r="T5" i="1"/>
  <c r="T6" i="1"/>
  <c r="T7" i="1"/>
  <c r="T8" i="1"/>
  <c r="T9" i="1"/>
  <c r="T10" i="1"/>
  <c r="T11" i="1"/>
  <c r="T12" i="1"/>
  <c r="T13" i="1"/>
  <c r="S3" i="1"/>
  <c r="S4" i="1"/>
  <c r="S5" i="1"/>
  <c r="S6" i="1"/>
  <c r="S7" i="1"/>
  <c r="S8" i="1"/>
  <c r="S9" i="1"/>
  <c r="S10" i="1"/>
  <c r="S11" i="1"/>
  <c r="S12" i="1"/>
  <c r="S13" i="1"/>
  <c r="R4" i="1"/>
  <c r="R5" i="1"/>
  <c r="R6" i="1"/>
  <c r="R7" i="1"/>
  <c r="R8" i="1"/>
  <c r="R9" i="1"/>
  <c r="R10" i="1"/>
  <c r="R11" i="1"/>
  <c r="R12" i="1"/>
  <c r="R13" i="1"/>
  <c r="R3" i="1"/>
  <c r="I4" i="1"/>
  <c r="I5" i="1"/>
  <c r="I6" i="1"/>
  <c r="I7" i="1"/>
  <c r="I9" i="1"/>
  <c r="I10" i="1"/>
  <c r="I11" i="1"/>
  <c r="I12" i="1"/>
  <c r="I13" i="1"/>
  <c r="I8" i="1"/>
  <c r="G7" i="1"/>
  <c r="G8" i="1"/>
  <c r="G9" i="1"/>
  <c r="G10" i="1"/>
  <c r="G11" i="1"/>
  <c r="G12" i="1"/>
  <c r="G13" i="1"/>
  <c r="G4" i="1"/>
  <c r="G5" i="1"/>
  <c r="G6" i="1"/>
  <c r="E3" i="1"/>
  <c r="E4" i="1"/>
  <c r="E5" i="1"/>
  <c r="E6" i="1"/>
  <c r="E7" i="1"/>
  <c r="E8" i="1"/>
  <c r="E9" i="1"/>
  <c r="E10" i="1"/>
  <c r="E11" i="1"/>
  <c r="E12" i="1"/>
  <c r="E13" i="1"/>
  <c r="D3" i="1"/>
  <c r="D4" i="1"/>
  <c r="D5" i="1"/>
  <c r="D6" i="1"/>
  <c r="D7" i="1"/>
  <c r="D8" i="1"/>
  <c r="D9" i="1"/>
  <c r="D10" i="1"/>
  <c r="D11" i="1"/>
  <c r="D12" i="1"/>
  <c r="D13" i="1"/>
  <c r="B4" i="1" l="1"/>
  <c r="AP4" i="1"/>
  <c r="AN4" i="1" s="1"/>
  <c r="AP5" i="1"/>
  <c r="AN5" i="1" s="1"/>
  <c r="AP6" i="1"/>
  <c r="AN6" i="1" s="1"/>
  <c r="AP7" i="1"/>
  <c r="AN7" i="1" s="1"/>
  <c r="AP8" i="1"/>
  <c r="AN8" i="1" s="1"/>
  <c r="AP9" i="1"/>
  <c r="AN9" i="1" s="1"/>
  <c r="AP10" i="1"/>
  <c r="AN10" i="1" s="1"/>
  <c r="AP11" i="1"/>
  <c r="AN11" i="1" s="1"/>
  <c r="AP12" i="1"/>
  <c r="AN12" i="1" s="1"/>
  <c r="AP13" i="1"/>
  <c r="AN13" i="1" s="1"/>
  <c r="AP3" i="1"/>
  <c r="AN3" i="1" s="1"/>
  <c r="A3" i="1"/>
  <c r="A4" i="1"/>
  <c r="A5" i="1"/>
  <c r="A6" i="1"/>
  <c r="A7" i="1"/>
  <c r="A8" i="1"/>
  <c r="A9" i="1"/>
  <c r="A10" i="1"/>
  <c r="A11" i="1"/>
  <c r="A12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Gree</author>
    <author>tc={59847DA7-B1EB-4FA2-B342-731B0FC9625F}</author>
    <author>tc={A7E824AA-0FB5-4CA4-BD67-761FB34E72D4}</author>
  </authors>
  <commentList>
    <comment ref="A2" authorId="0" shapeId="0" xr:uid="{D74944C2-3C67-4D15-900A-A7CC54F04CC7}">
      <text>
        <r>
          <rPr>
            <b/>
            <sz val="9"/>
            <color indexed="81"/>
            <rFont val="Tahoma"/>
            <family val="2"/>
          </rPr>
          <t>Sequence number for internal use only. Must show monotonic integer sequence from 1 to max</t>
        </r>
      </text>
    </comment>
    <comment ref="B2" authorId="0" shapeId="0" xr:uid="{4EC62636-F156-492C-A492-CCAC50264ABA}">
      <text>
        <r>
          <rPr>
            <b/>
            <sz val="9"/>
            <color indexed="81"/>
            <rFont val="Tahoma"/>
            <family val="2"/>
          </rPr>
          <t>Date of last update. Entire row must be checked and validated before setting current day.</t>
        </r>
      </text>
    </comment>
    <comment ref="C2" authorId="0" shapeId="0" xr:uid="{6A83330C-F46F-48F0-A476-907FE8F4220B}">
      <text>
        <r>
          <rPr>
            <b/>
            <sz val="9"/>
            <color indexed="81"/>
            <rFont val="Tahoma"/>
            <family val="2"/>
          </rPr>
          <t>SKU identifier as shown in seller console</t>
        </r>
      </text>
    </comment>
    <comment ref="E2" authorId="0" shapeId="0" xr:uid="{C3A8B505-914B-4123-A932-F89A15A30DC9}">
      <text>
        <r>
          <rPr>
            <b/>
            <sz val="9"/>
            <color indexed="81"/>
            <rFont val="Tahoma"/>
            <family val="2"/>
          </rPr>
          <t>Informative item description as shown in the listing</t>
        </r>
      </text>
    </comment>
    <comment ref="F2" authorId="0" shapeId="0" xr:uid="{FDA54ABB-5A4E-4F7A-9EBE-7BD97BE5766A}">
      <text>
        <r>
          <rPr>
            <b/>
            <sz val="9"/>
            <color indexed="81"/>
            <rFont val="Tahoma"/>
            <family val="2"/>
          </rPr>
          <t>ASIN (Amazon identifier)</t>
        </r>
      </text>
    </comment>
    <comment ref="G2" authorId="0" shapeId="0" xr:uid="{07C24C39-997D-4F3F-9E4B-40C3FA314286}">
      <text>
        <r>
          <rPr>
            <b/>
            <sz val="9"/>
            <color indexed="81"/>
            <rFont val="Tahoma"/>
            <family val="2"/>
          </rPr>
          <t>How many units are currently in transit and are expected to be received by FBA (Amazon)
In units (amount of final sold product).</t>
        </r>
      </text>
    </comment>
    <comment ref="I2" authorId="0" shapeId="0" xr:uid="{1E80EF70-AFAB-42B4-89E9-F38DFC7FEFB7}">
      <text>
        <r>
          <rPr>
            <b/>
            <sz val="9"/>
            <color indexed="81"/>
            <rFont val="Tahoma"/>
            <family val="2"/>
          </rPr>
          <t>Expected Time of Arrival (ETA) for units in group 1
Date format.</t>
        </r>
      </text>
    </comment>
    <comment ref="J2" authorId="0" shapeId="0" xr:uid="{F792C654-AE90-402A-9F5B-0925368A41E0}">
      <text>
        <r>
          <rPr>
            <b/>
            <sz val="9"/>
            <color indexed="81"/>
            <rFont val="Tahoma"/>
            <family val="2"/>
          </rPr>
          <t>Additional expected deliveries</t>
        </r>
      </text>
    </comment>
    <comment ref="P2" authorId="0" shapeId="0" xr:uid="{4CF360E2-7548-4ABA-A25E-30FAF26C55D3}">
      <text>
        <r>
          <rPr>
            <b/>
            <sz val="9"/>
            <color indexed="81"/>
            <rFont val="Tahoma"/>
            <family val="2"/>
          </rPr>
          <t>Minimum Order Quantity (MOQ) - what is the supplier-defined minimum quantity for the order.
In Units (amount of final sold product)</t>
        </r>
      </text>
    </comment>
    <comment ref="Q2" authorId="0" shapeId="0" xr:uid="{950E0A1E-B665-42A6-A18B-65938AC321C3}">
      <text>
        <r>
          <rPr>
            <b/>
            <sz val="9"/>
            <color indexed="81"/>
            <rFont val="Tahoma"/>
            <family val="2"/>
          </rPr>
          <t>Coded address of the manufacturer. 
Examples:
CHINA - Anywhere in China
US/CA - USA, California
EU - Anywhere in Europe
TR - Turkey
A table of address codes must be supplied where applicable.</t>
        </r>
      </text>
    </comment>
    <comment ref="R2" authorId="0" shapeId="0" xr:uid="{E7791EE7-7CA5-418C-BC4D-4E6F2C708359}">
      <text>
        <r>
          <rPr>
            <b/>
            <sz val="9"/>
            <color indexed="81"/>
            <rFont val="Tahoma"/>
            <family val="2"/>
          </rPr>
          <t>Units per box (carton) of Type1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" authorId="0" shapeId="0" xr:uid="{93D36800-A32E-445D-9272-EA57327976B4}">
      <text>
        <r>
          <rPr>
            <b/>
            <sz val="9"/>
            <color indexed="81"/>
            <rFont val="Tahoma"/>
            <family val="2"/>
          </rPr>
          <t>Box (Carton) of Type1 Height 
Units: (inches)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2" authorId="0" shapeId="0" xr:uid="{AEE6E65E-8400-4B05-A1DE-B3BB1A075502}">
      <text>
        <r>
          <rPr>
            <b/>
            <sz val="9"/>
            <color indexed="81"/>
            <rFont val="Tahoma"/>
            <family val="2"/>
          </rPr>
          <t>Box (Carton) of Type1 Width 
Units: (inches)</t>
        </r>
      </text>
    </comment>
    <comment ref="U2" authorId="0" shapeId="0" xr:uid="{DF60015A-BF65-42E1-BCBC-7B9BC58AD7F9}">
      <text>
        <r>
          <rPr>
            <b/>
            <sz val="9"/>
            <color indexed="81"/>
            <rFont val="Tahoma"/>
            <family val="2"/>
          </rPr>
          <t>Box (Carton) of Type1 Length 
Units: (inches)</t>
        </r>
      </text>
    </comment>
    <comment ref="V2" authorId="0" shapeId="0" xr:uid="{A6983B2B-E032-44D0-81EB-C0F5C9BC635E}">
      <text>
        <r>
          <rPr>
            <b/>
            <sz val="9"/>
            <color indexed="81"/>
            <rFont val="Tahoma"/>
            <family val="2"/>
          </rPr>
          <t>Box (Carton) of Type1 Weight in pounds 
Units: (pounds)</t>
        </r>
      </text>
    </comment>
    <comment ref="W2" authorId="0" shapeId="0" xr:uid="{B508F207-3042-44A3-B6AB-514635940659}">
      <text>
        <r>
          <rPr>
            <b/>
            <sz val="9"/>
            <color indexed="81"/>
            <rFont val="Tahoma"/>
            <family val="2"/>
          </rPr>
          <t>How many boxes(cartons) are typically provided by manufacturer on pallet Type 1</t>
        </r>
      </text>
    </comment>
    <comment ref="X2" authorId="0" shapeId="0" xr:uid="{CF48528C-93E3-4D54-8E67-62AA9C59BE75}">
      <text>
        <r>
          <rPr>
            <b/>
            <sz val="9"/>
            <color indexed="81"/>
            <rFont val="Tahoma"/>
            <family val="2"/>
          </rPr>
          <t>How many boxes(cartons) of Type1 are currently available in warehouse 1 (e.g. PREP warehouse)</t>
        </r>
      </text>
    </comment>
    <comment ref="Y2" authorId="0" shapeId="0" xr:uid="{A6B9D631-AE2B-404B-95C4-19B09B92297B}">
      <text>
        <r>
          <rPr>
            <b/>
            <sz val="9"/>
            <color indexed="81"/>
            <rFont val="Tahoma"/>
            <family val="2"/>
          </rPr>
          <t>Coded address of the warehouse 1 (e.g. PREP warehouse) 
Examples:
CHINA - Anywhere in China
US/CA - USA, California
EU - Anywhere in Europe
TR - Turkey
A table of address codes must be supplied where applicable.</t>
        </r>
      </text>
    </comment>
    <comment ref="Z2" authorId="0" shapeId="0" xr:uid="{8F6706FB-16C9-452F-A4DD-8ED98D8FEE26}">
      <text>
        <r>
          <rPr>
            <b/>
            <sz val="9"/>
            <color indexed="81"/>
            <rFont val="Tahoma"/>
            <family val="2"/>
          </rPr>
          <t>How many boxes(cartons) of Type1 are currently available in warehouse 2 (e.g. Long-Term storage warehouse)</t>
        </r>
      </text>
    </comment>
    <comment ref="AA2" authorId="0" shapeId="0" xr:uid="{4E28D028-7D7F-47A4-AC67-DD5CF563616A}">
      <text>
        <r>
          <rPr>
            <b/>
            <sz val="9"/>
            <color indexed="81"/>
            <rFont val="Tahoma"/>
            <family val="2"/>
          </rPr>
          <t>Coded address of the warehouse 2 (e.g. Long-term storage warehouse) 
Examples:
CHINA - Anywhere in China
US/CA - USA, California
EU - Anywhere in Europe
TR - Turkey
A table of address codes must be supplied where applicable.</t>
        </r>
      </text>
    </comment>
    <comment ref="AC2" authorId="0" shapeId="0" xr:uid="{AC65DCE9-8FD1-47B8-ADCD-397357D49848}">
      <text>
        <r>
          <rPr>
            <b/>
            <sz val="9"/>
            <color indexed="81"/>
            <rFont val="Tahoma"/>
            <family val="2"/>
          </rPr>
          <t>Coded address of the warehouse 3 (e.g. PREP at the other location in U.S.) 
Examples:
CHINA - Anywhere in China
US/CA - USA, California
EU - Anywhere in Europe
TR - Turkey
A table of address codes must be supplied where applicable.</t>
        </r>
      </text>
    </comment>
    <comment ref="AL2" authorId="0" shapeId="0" xr:uid="{B8C0898D-E8FC-4C53-9E15-A44F006CDCAA}">
      <text>
        <r>
          <rPr>
            <b/>
            <sz val="9"/>
            <color indexed="81"/>
            <rFont val="Tahoma"/>
            <family val="2"/>
          </rPr>
          <t>Currently shown unit quantity available to ship from Amazon FBA</t>
        </r>
      </text>
    </comment>
    <comment ref="AO2" authorId="0" shapeId="0" xr:uid="{70347CBD-F0A6-4C5A-B440-AA3474CFB9A6}">
      <text>
        <r>
          <rPr>
            <sz val="10"/>
            <color indexed="81"/>
            <rFont val="Tahoma"/>
            <family val="2"/>
          </rPr>
          <t>Sales per week in months 1 and 2 (Jan. and Feb.) in units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2" authorId="0" shapeId="0" xr:uid="{97522674-0B94-45DE-ACB2-992099D95653}">
      <text>
        <r>
          <rPr>
            <b/>
            <sz val="9"/>
            <color indexed="81"/>
            <rFont val="Tahoma"/>
            <family val="2"/>
          </rPr>
          <t>Sales per week in months 3 and 3 (Mar. and Apr.) in units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2" authorId="0" shapeId="0" xr:uid="{4AD4989C-BEC2-4462-8E50-A61C68040651}">
      <text>
        <r>
          <rPr>
            <b/>
            <sz val="9"/>
            <color indexed="81"/>
            <rFont val="Tahoma"/>
            <family val="2"/>
          </rPr>
          <t>Sales per week in consequtive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2" authorId="0" shapeId="0" xr:uid="{CB492BE1-32F2-4474-ADF9-D4DC78BD745F}">
      <text>
        <r>
          <rPr>
            <b/>
            <sz val="9"/>
            <color indexed="81"/>
            <rFont val="Tahoma"/>
            <family val="2"/>
          </rPr>
          <t xml:space="preserve">Sales per week in consequtive months
</t>
        </r>
      </text>
    </comment>
    <comment ref="AS2" authorId="0" shapeId="0" xr:uid="{955ADE81-AA84-4EA3-8EF9-67B8F2A11470}">
      <text>
        <r>
          <rPr>
            <b/>
            <sz val="9"/>
            <color indexed="81"/>
            <rFont val="Tahoma"/>
            <family val="2"/>
          </rPr>
          <t xml:space="preserve">Sales per week in consequtive months
</t>
        </r>
      </text>
    </comment>
    <comment ref="AU2" authorId="0" shapeId="0" xr:uid="{88D89453-A1C0-4250-BB97-37AB439EE6A5}">
      <text>
        <r>
          <rPr>
            <b/>
            <sz val="9"/>
            <color indexed="81"/>
            <rFont val="Tahoma"/>
            <family val="2"/>
          </rPr>
          <t>Name of product category in a catalog by e.g. Amazon Product Catalog</t>
        </r>
      </text>
    </comment>
    <comment ref="AV2" authorId="0" shapeId="0" xr:uid="{55CE2347-1629-4C9C-B691-3703B10F93D5}">
      <text>
        <r>
          <rPr>
            <b/>
            <sz val="9"/>
            <color indexed="81"/>
            <rFont val="Tahoma"/>
            <family val="2"/>
          </rPr>
          <t>Product category.
One of:
Standard
Oversize</t>
        </r>
      </text>
    </comment>
    <comment ref="AW2" authorId="0" shapeId="0" xr:uid="{0DE0A67D-9576-49C8-86B9-ADCA49320709}">
      <text>
        <r>
          <rPr>
            <b/>
            <sz val="9"/>
            <color indexed="81"/>
            <rFont val="Tahoma"/>
            <family val="2"/>
            <charset val="204"/>
          </rPr>
          <t>Typical total time of delay and delivery from typical warehouse to typical Amazon Fulfillment Center including transport, queues and lead times delays.
Units: Days
[Leave blank if not applicable or complex]</t>
        </r>
      </text>
    </comment>
    <comment ref="AX2" authorId="0" shapeId="0" xr:uid="{5F5C9AF6-596E-4CB4-A958-EC4A3A78BF01}">
      <text>
        <r>
          <rPr>
            <b/>
            <sz val="9"/>
            <color indexed="81"/>
            <rFont val="Tahoma"/>
            <family val="2"/>
          </rPr>
          <t>[For second step in supply chain] Typical total time of delay and delivery from typical warehouse to typical Amazon Fulfillment Center including transport, queues and lead times delays.
Units: Days
[Leave blank if not applicable or complex]</t>
        </r>
      </text>
    </comment>
    <comment ref="AY2" authorId="0" shapeId="0" xr:uid="{DBC6ED77-7580-4233-B295-FE53E17A6848}">
      <text>
        <r>
          <rPr>
            <b/>
            <sz val="9"/>
            <color indexed="81"/>
            <rFont val="Tahoma"/>
            <family val="2"/>
          </rPr>
          <t>Minimum quantity we want to store at Amazon Warehouse (fulfillment center) to protect against Out-of-Stock</t>
        </r>
      </text>
    </comment>
    <comment ref="AZ2" authorId="0" shapeId="0" xr:uid="{B0DB28EA-D032-413F-84E3-9E28C66B63E2}">
      <text>
        <r>
          <rPr>
            <b/>
            <sz val="9"/>
            <color indexed="81"/>
            <rFont val="Tahoma"/>
            <family val="2"/>
          </rPr>
          <t>Expected cost of goods sold. Includes all manucacturing, storage and transport costs.</t>
        </r>
      </text>
    </comment>
    <comment ref="P3" authorId="1" shapeId="0" xr:uid="{59847DA7-B1EB-4FA2-B342-731B0FC9625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Need to include MOQ-Price</t>
        </r>
      </text>
    </comment>
    <comment ref="Q4" authorId="2" shapeId="0" xr:uid="{A7E824AA-0FB5-4CA4-BD67-761FB34E72D4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If multiple manufacturers - we may have different terms per every mfg</t>
        </r>
      </text>
    </comment>
  </commentList>
</comments>
</file>

<file path=xl/sharedStrings.xml><?xml version="1.0" encoding="utf-8"?>
<sst xmlns="http://schemas.openxmlformats.org/spreadsheetml/2006/main" count="121" uniqueCount="87">
  <si>
    <t>SEQUENCE</t>
  </si>
  <si>
    <t>DATE</t>
  </si>
  <si>
    <t>SKU</t>
  </si>
  <si>
    <t>DESCRIPTION</t>
  </si>
  <si>
    <t>ASIN</t>
  </si>
  <si>
    <t>IN_DELIVERY_UNITS1</t>
  </si>
  <si>
    <t>IN_DELIVERY_ETA1</t>
  </si>
  <si>
    <t>IN_DELIVERY_UNITS2</t>
  </si>
  <si>
    <t>IN_DELIVERY_ETA2</t>
  </si>
  <si>
    <t>IN_DELIVERY_UNITS3</t>
  </si>
  <si>
    <t>IN_DELIVERY_ETA3</t>
  </si>
  <si>
    <t>MOQ</t>
  </si>
  <si>
    <t>MFG_ADDRESS</t>
  </si>
  <si>
    <t>UNITS_PER_BOX1</t>
  </si>
  <si>
    <t>BOX1_H</t>
  </si>
  <si>
    <t>BOX1_W</t>
  </si>
  <si>
    <t>BOX1_L</t>
  </si>
  <si>
    <t>BOX1_WEIGHT</t>
  </si>
  <si>
    <t>BOXES_PER_PALLET1</t>
  </si>
  <si>
    <t>QTY1_WH1</t>
  </si>
  <si>
    <t>ADDRESS1</t>
  </si>
  <si>
    <t>QTY1_WH2</t>
  </si>
  <si>
    <t>ADDRESS2</t>
  </si>
  <si>
    <t>QTY1_WH3</t>
  </si>
  <si>
    <t>ADDRESS3</t>
  </si>
  <si>
    <t>UNITS_PER_BOX2</t>
  </si>
  <si>
    <t>BOX2_H</t>
  </si>
  <si>
    <t>BOX2_W</t>
  </si>
  <si>
    <t>BOX2_L</t>
  </si>
  <si>
    <t>BOX2_WEIGHT</t>
  </si>
  <si>
    <t>QTY2_WH1</t>
  </si>
  <si>
    <t>QTY2_WH2</t>
  </si>
  <si>
    <t>QTY2_WH3</t>
  </si>
  <si>
    <t>QTY_AMZ</t>
  </si>
  <si>
    <t>WEEKLY_SALES_1_2_M</t>
  </si>
  <si>
    <t>WEEKLY_SALES_3_4_M</t>
  </si>
  <si>
    <t>WEEKLY_SALES_5_6_M</t>
  </si>
  <si>
    <t>WEEKLY_SALES_7_8_M</t>
  </si>
  <si>
    <t>WEEKLY_SALES_9_10_M</t>
  </si>
  <si>
    <t>WEEKLY_SALES_11_12_M</t>
  </si>
  <si>
    <t>PRODUCT_CATEGORY_NAME</t>
  </si>
  <si>
    <t>SIZE_CATEGORY</t>
  </si>
  <si>
    <t>TYP_TIME_WH_FC1</t>
  </si>
  <si>
    <t>TYP_TIME_WH_FC2</t>
  </si>
  <si>
    <t>MINIMUM_SAFETY_QTY</t>
  </si>
  <si>
    <t>EXPECTED_COGS</t>
  </si>
  <si>
    <t>1-SBarSet12-NBS-C-M</t>
  </si>
  <si>
    <t>B08KW6J37L</t>
  </si>
  <si>
    <t>CHINA</t>
  </si>
  <si>
    <t>N/A</t>
  </si>
  <si>
    <t>Standard</t>
  </si>
  <si>
    <t>Clear_IBM_1Ball</t>
  </si>
  <si>
    <t>B092DVVH9C</t>
  </si>
  <si>
    <t>Clear_IBM_2Sphere</t>
  </si>
  <si>
    <t>B08PFHQPG9</t>
  </si>
  <si>
    <t>Clear_IBM_4Balls</t>
  </si>
  <si>
    <t>B092R2KRXD</t>
  </si>
  <si>
    <t>Clear_ICM_2Cubes</t>
  </si>
  <si>
    <t>B092R21Y9Q</t>
  </si>
  <si>
    <t>WG_2_Rhomb</t>
  </si>
  <si>
    <t>B096MRNRVK</t>
  </si>
  <si>
    <t>WG_2_Twist</t>
  </si>
  <si>
    <t>B0936TV62Z</t>
  </si>
  <si>
    <t>WG_4_Circle</t>
  </si>
  <si>
    <t>B096MTGRBF</t>
  </si>
  <si>
    <t>WG_4_Twisted</t>
  </si>
  <si>
    <t>B09PKJCL4H</t>
  </si>
  <si>
    <t>WG_Circle_2</t>
  </si>
  <si>
    <t>B09PKK8R7F</t>
  </si>
  <si>
    <t>WG_Rhomb_4</t>
  </si>
  <si>
    <t>B09PKKHP3X</t>
  </si>
  <si>
    <t>Category</t>
  </si>
  <si>
    <t>Parameter</t>
  </si>
  <si>
    <t>Value</t>
  </si>
  <si>
    <t>Date</t>
  </si>
  <si>
    <t>Utilization Quantity</t>
  </si>
  <si>
    <t>Restocking Limit</t>
  </si>
  <si>
    <t>=ВПР(I2;$A$2:$A$1000;1;0)</t>
  </si>
  <si>
    <t>(пусто)</t>
  </si>
  <si>
    <t>STOCK_PROBLEM</t>
  </si>
  <si>
    <t>STATUS</t>
  </si>
  <si>
    <t>recom_retail_price</t>
  </si>
  <si>
    <t>purchase_price</t>
  </si>
  <si>
    <t>IN_DELIVERY_SUM1</t>
  </si>
  <si>
    <t>IN_DELIVERY_SUM2</t>
  </si>
  <si>
    <t>IN_DELIVERY_SUM3</t>
  </si>
  <si>
    <t>SUM_AMZ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</si>
</sst>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&quot; &quot;* #,##0.00&quot; &quot;;&quot; &quot;* &quot;(&quot;#,##0.00&quot;)&quot;;&quot; &quot;* &quot;-&quot;#&quot; &quot;;&quot; &quot;@&quot; &quot;"/>
    <numFmt numFmtId="166" formatCode="0\ &quot;days&quot;"/>
    <numFmt numFmtId="167" formatCode="0\ &quot;units&quot;"/>
    <numFmt numFmtId="168" formatCode="0.00\ &quot;lb&quot;"/>
    <numFmt numFmtId="169" formatCode="0.00\ &quot;in&quot;"/>
  </numFmts>
  <fonts count="15">
    <font>
      <sz val="11"/>
      <color theme="1"/>
      <name val="Calibri"/>
      <family val="2"/>
      <scheme val="minor"/>
    </font>
    <font>
      <sz val="10"/>
      <color rgb="FF002F36"/>
      <name val="Arial"/>
      <family val="2"/>
      <charset val="204"/>
    </font>
    <font>
      <sz val="11"/>
      <color rgb="FF000000"/>
      <name val="Liberation Sans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2" fillId="0" borderId="0"/>
    <xf numFmtId="164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1" fontId="0" fillId="0" borderId="0" xfId="1" applyNumberFormat="1" applyFont="1" applyFill="1"/>
    <xf numFmtId="1" fontId="0" fillId="0" borderId="0" xfId="1" applyNumberFormat="1" applyFont="1"/>
    <xf numFmtId="0" fontId="2" fillId="0" borderId="0" xfId="2"/>
    <xf numFmtId="14" fontId="0" fillId="0" borderId="0" xfId="0" applyNumberFormat="1"/>
    <xf numFmtId="166" fontId="0" fillId="0" borderId="0" xfId="0" applyNumberFormat="1"/>
    <xf numFmtId="166" fontId="2" fillId="0" borderId="0" xfId="2" applyNumberFormat="1"/>
    <xf numFmtId="0" fontId="5" fillId="0" borderId="0" xfId="0" applyFont="1"/>
    <xf numFmtId="0" fontId="9" fillId="3" borderId="1" xfId="0" applyFont="1" applyFill="1" applyBorder="1"/>
    <xf numFmtId="0" fontId="9" fillId="3" borderId="2" xfId="0" applyFont="1" applyFill="1" applyBorder="1"/>
    <xf numFmtId="0" fontId="9" fillId="3" borderId="3" xfId="0" applyFont="1" applyFill="1" applyBorder="1"/>
    <xf numFmtId="0" fontId="9" fillId="3" borderId="0" xfId="0" applyFont="1" applyFill="1"/>
    <xf numFmtId="0" fontId="9" fillId="3" borderId="0" xfId="2" applyFont="1" applyFill="1"/>
    <xf numFmtId="1" fontId="9" fillId="3" borderId="0" xfId="1" applyNumberFormat="1" applyFont="1" applyFill="1"/>
    <xf numFmtId="166" fontId="9" fillId="3" borderId="0" xfId="2" applyNumberFormat="1" applyFont="1" applyFill="1"/>
    <xf numFmtId="0" fontId="9" fillId="0" borderId="0" xfId="2" applyFont="1"/>
    <xf numFmtId="164" fontId="2" fillId="0" borderId="0" xfId="3" applyFont="1" applyFill="1"/>
    <xf numFmtId="164" fontId="0" fillId="0" borderId="0" xfId="3" applyFon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2" borderId="6" xfId="2" applyFont="1" applyFill="1" applyBorder="1"/>
    <xf numFmtId="14" fontId="6" fillId="2" borderId="7" xfId="2" applyNumberFormat="1" applyFont="1" applyFill="1" applyBorder="1"/>
    <xf numFmtId="0" fontId="0" fillId="0" borderId="0" xfId="0" pivotButton="1"/>
    <xf numFmtId="0" fontId="9" fillId="0" borderId="0" xfId="2" applyFont="1" applyFill="1"/>
    <xf numFmtId="0" fontId="6" fillId="0" borderId="8" xfId="0" applyFont="1" applyBorder="1"/>
    <xf numFmtId="0" fontId="6" fillId="0" borderId="0" xfId="0" applyFont="1" applyBorder="1"/>
    <xf numFmtId="0" fontId="6" fillId="2" borderId="0" xfId="2" applyFont="1" applyFill="1" applyBorder="1"/>
    <xf numFmtId="0" fontId="13" fillId="0" borderId="0" xfId="0" applyFont="1"/>
    <xf numFmtId="0" fontId="14" fillId="0" borderId="0" xfId="0" applyFont="1"/>
    <xf numFmtId="0" fontId="14" fillId="2" borderId="0" xfId="2" applyFont="1" applyFill="1"/>
  </cellXfs>
  <cellStyles count="4">
    <cellStyle name="Comma 2" xfId="1" xr:uid="{E45F8B69-6CC1-489A-A0FE-82E50815D8F9}"/>
    <cellStyle name="Normal 2" xfId="2" xr:uid="{710C2535-6C84-459B-A9D2-E4BFD79C90A2}"/>
    <cellStyle name="Денежный" xfId="3" builtinId="4"/>
    <cellStyle name="Обычный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68" formatCode="0.00\ &quot;lb&quot;"/>
    </dxf>
    <dxf>
      <numFmt numFmtId="169" formatCode="0.00\ &quot;in&quot;"/>
    </dxf>
    <dxf>
      <numFmt numFmtId="169" formatCode="0.00\ &quot;in&quot;"/>
    </dxf>
    <dxf>
      <numFmt numFmtId="169" formatCode="0.00\ &quot;i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</dxf>
    <dxf>
      <numFmt numFmtId="170" formatCode="m/d/yyyy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theme="2"/>
        </patternFill>
      </fill>
    </dxf>
    <dxf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6" formatCode="0\ &quot;days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6" formatCode="0\ &quot;days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iberatio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67" formatCode="0\ &quot;units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charset val="204"/>
        <scheme val="none"/>
      </font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15240</xdr:rowOff>
        </xdr:from>
        <xdr:to>
          <xdr:col>8</xdr:col>
          <xdr:colOff>1363980</xdr:colOff>
          <xdr:row>0</xdr:row>
          <xdr:rowOff>182880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delivery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312420</xdr:colOff>
          <xdr:row>0</xdr:row>
          <xdr:rowOff>22860</xdr:rowOff>
        </xdr:from>
        <xdr:to>
          <xdr:col>11</xdr:col>
          <xdr:colOff>1363980</xdr:colOff>
          <xdr:row>0</xdr:row>
          <xdr:rowOff>175260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one more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22860</xdr:rowOff>
        </xdr:from>
        <xdr:to>
          <xdr:col>14</xdr:col>
          <xdr:colOff>1501140</xdr:colOff>
          <xdr:row>0</xdr:row>
          <xdr:rowOff>175260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extra deliveries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lan/Downloads/Telegram%20Desktop/REPLIED%20Client%20Questionnaire%20v2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lan/Downloads/Telegram%20Desktop/BusinessReport-april-math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Data"/>
      <sheetName val="Analysis"/>
      <sheetName val="Utilization Quantities"/>
    </sheetNames>
    <sheetDataSet>
      <sheetData sheetId="0">
        <row r="2">
          <cell r="B2" t="str">
            <v>SEQUENCE</v>
          </cell>
          <cell r="C2" t="str">
            <v>DATE</v>
          </cell>
          <cell r="D2" t="str">
            <v>SKU</v>
          </cell>
          <cell r="E2" t="str">
            <v>Status</v>
          </cell>
          <cell r="F2" t="str">
            <v>DESCRIPTION</v>
          </cell>
          <cell r="G2" t="str">
            <v>ASIN</v>
          </cell>
          <cell r="H2" t="str">
            <v>IN_DELIVERY_UNITS1</v>
          </cell>
          <cell r="I2" t="str">
            <v>IN_DELIVERY_ETA1</v>
          </cell>
          <cell r="J2" t="str">
            <v>IN_DELIVERY_UNITS2</v>
          </cell>
          <cell r="K2" t="str">
            <v>IN_DELIVERY_ETA2</v>
          </cell>
          <cell r="L2" t="str">
            <v>IN_DELIVERY_UNITS3</v>
          </cell>
          <cell r="M2" t="str">
            <v>IN_DELIVERY_ETA3</v>
          </cell>
          <cell r="N2" t="str">
            <v>MOQ</v>
          </cell>
          <cell r="O2" t="str">
            <v>MFG_ADDRESS</v>
          </cell>
          <cell r="P2" t="str">
            <v>UNITS_PER_BOX1</v>
          </cell>
          <cell r="Q2" t="str">
            <v>BOX1_H</v>
          </cell>
          <cell r="R2" t="str">
            <v>BOX1_W</v>
          </cell>
          <cell r="S2" t="str">
            <v>BOX1_L</v>
          </cell>
          <cell r="T2" t="str">
            <v>BOX1_WEIGHT</v>
          </cell>
          <cell r="U2" t="str">
            <v>BOXES_PER_PALLET1</v>
          </cell>
          <cell r="V2" t="str">
            <v>QTY1_WH1</v>
          </cell>
          <cell r="W2" t="str">
            <v>ADDRESS1</v>
          </cell>
          <cell r="X2" t="str">
            <v>QTY1_WH2</v>
          </cell>
          <cell r="Y2" t="str">
            <v>ADDRESS2</v>
          </cell>
          <cell r="Z2" t="str">
            <v>QTY1_WH3</v>
          </cell>
          <cell r="AA2" t="str">
            <v>ADDRESS3</v>
          </cell>
          <cell r="AB2" t="str">
            <v>UNITS_PER_BOX2</v>
          </cell>
          <cell r="AC2" t="str">
            <v>BOX2_H</v>
          </cell>
          <cell r="AD2" t="str">
            <v>BOX2_W</v>
          </cell>
          <cell r="AE2" t="str">
            <v>BOX2_L</v>
          </cell>
          <cell r="AF2" t="str">
            <v>BOX2_WEIGHT</v>
          </cell>
          <cell r="AG2" t="str">
            <v>QTY2_WH1</v>
          </cell>
          <cell r="AH2" t="str">
            <v>QTY2_WH2</v>
          </cell>
          <cell r="AI2" t="str">
            <v>QTY2_WH3</v>
          </cell>
          <cell r="AJ2" t="str">
            <v>QTY_AMZ</v>
          </cell>
          <cell r="AK2" t="str">
            <v>WEEKLY_SALES_1_2_M</v>
          </cell>
          <cell r="AL2" t="str">
            <v>WEEKLY_SALES_3_4_M</v>
          </cell>
          <cell r="AM2" t="str">
            <v>WEEKLY_SALES_5_6_M</v>
          </cell>
          <cell r="AN2" t="str">
            <v>WEEKLY_SALES_7_8_M</v>
          </cell>
          <cell r="AO2" t="str">
            <v>WEEKLY_SALES_9_10_M</v>
          </cell>
          <cell r="AP2" t="str">
            <v>WEEKLY_SALES_11_12_M</v>
          </cell>
          <cell r="AQ2" t="str">
            <v>PRODUCT_CATEGORY_NAME</v>
          </cell>
          <cell r="AR2" t="str">
            <v>SIZE_CATEGORY</v>
          </cell>
          <cell r="AS2" t="str">
            <v>TYP_TIME_WH_FC1</v>
          </cell>
          <cell r="AT2" t="str">
            <v>TYP_TIME_WH_FC2</v>
          </cell>
          <cell r="AU2" t="str">
            <v>MINIMUM_SAFETY_QTY</v>
          </cell>
          <cell r="AV2" t="str">
            <v>EXPECTED_COGS</v>
          </cell>
        </row>
        <row r="3">
          <cell r="A3" t="str">
            <v>B00006JSUA</v>
          </cell>
          <cell r="B3">
            <v>1</v>
          </cell>
          <cell r="C3">
            <v>32881</v>
          </cell>
          <cell r="D3" t="str">
            <v>Pst:SkilletV1</v>
          </cell>
          <cell r="E3" t="str">
            <v>Not sold</v>
          </cell>
          <cell r="F3" t="str">
            <v>Temporary ASIN. Don't sell</v>
          </cell>
          <cell r="G3" t="str">
            <v>B00006JSUA</v>
          </cell>
          <cell r="O3" t="str">
            <v>CHINA</v>
          </cell>
          <cell r="P3">
            <v>1</v>
          </cell>
          <cell r="V3">
            <v>-1</v>
          </cell>
          <cell r="W3" t="str">
            <v>N/A</v>
          </cell>
          <cell r="AJ3">
            <v>7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S3">
            <v>50</v>
          </cell>
          <cell r="AU3">
            <v>0</v>
          </cell>
        </row>
        <row r="4">
          <cell r="A4" t="str">
            <v>B00008GKDN</v>
          </cell>
          <cell r="B4">
            <v>2</v>
          </cell>
          <cell r="C4">
            <v>32883</v>
          </cell>
          <cell r="D4" t="str">
            <v>Pst:SkilletV3</v>
          </cell>
          <cell r="E4" t="str">
            <v>Not sold</v>
          </cell>
          <cell r="F4" t="str">
            <v>Temporary ASIN. Don't sell</v>
          </cell>
          <cell r="G4" t="str">
            <v>B00008GKDN</v>
          </cell>
          <cell r="O4" t="str">
            <v>CHINA</v>
          </cell>
          <cell r="P4">
            <v>1</v>
          </cell>
          <cell r="V4">
            <v>-1</v>
          </cell>
          <cell r="W4" t="str">
            <v>N/A</v>
          </cell>
          <cell r="AJ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S4">
            <v>50</v>
          </cell>
          <cell r="AU4">
            <v>0</v>
          </cell>
        </row>
        <row r="5">
          <cell r="A5" t="str">
            <v>B000N501BK</v>
          </cell>
          <cell r="B5">
            <v>3</v>
          </cell>
          <cell r="C5">
            <v>32880</v>
          </cell>
          <cell r="D5" t="str">
            <v>Pst:PanV1</v>
          </cell>
          <cell r="E5" t="str">
            <v>Not sold</v>
          </cell>
          <cell r="F5" t="str">
            <v>Temporary ASIN. Don't sell</v>
          </cell>
          <cell r="G5" t="str">
            <v>B000N501BK</v>
          </cell>
          <cell r="O5" t="str">
            <v>CHINA</v>
          </cell>
          <cell r="P5">
            <v>1</v>
          </cell>
          <cell r="V5">
            <v>-1</v>
          </cell>
          <cell r="W5" t="str">
            <v>N/A</v>
          </cell>
          <cell r="AJ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S5">
            <v>50</v>
          </cell>
          <cell r="AU5">
            <v>0</v>
          </cell>
        </row>
        <row r="6">
          <cell r="A6" t="str">
            <v>B0078P9D8K</v>
          </cell>
          <cell r="B6">
            <v>4</v>
          </cell>
          <cell r="C6">
            <v>32882</v>
          </cell>
          <cell r="D6" t="str">
            <v>Pst:SkilletV2</v>
          </cell>
          <cell r="E6" t="str">
            <v>Not sold</v>
          </cell>
          <cell r="F6" t="str">
            <v>Temporary ASIN. Don't sell</v>
          </cell>
          <cell r="G6" t="str">
            <v>B0078P9D8K</v>
          </cell>
          <cell r="O6" t="str">
            <v>CHINA</v>
          </cell>
          <cell r="P6">
            <v>1</v>
          </cell>
          <cell r="V6">
            <v>-1</v>
          </cell>
          <cell r="W6" t="str">
            <v>N/A</v>
          </cell>
          <cell r="AJ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S6">
            <v>50</v>
          </cell>
          <cell r="AU6">
            <v>0</v>
          </cell>
        </row>
        <row r="7">
          <cell r="A7" t="str">
            <v>B08KW6J37L</v>
          </cell>
          <cell r="B7">
            <v>5</v>
          </cell>
          <cell r="C7">
            <v>32874</v>
          </cell>
          <cell r="D7" t="str">
            <v>1-SBarSet12-NBS-C-M</v>
          </cell>
          <cell r="E7" t="str">
            <v>End of life</v>
          </cell>
          <cell r="F7" t="str">
            <v>Bar set. Sale of the rest of the batch. No repeat shipments.</v>
          </cell>
          <cell r="G7" t="str">
            <v>B08KW6J37L</v>
          </cell>
          <cell r="H7">
            <v>0</v>
          </cell>
          <cell r="N7">
            <v>1000</v>
          </cell>
          <cell r="O7" t="str">
            <v>CHINA</v>
          </cell>
          <cell r="P7">
            <v>4</v>
          </cell>
          <cell r="Q7">
            <v>21.5</v>
          </cell>
          <cell r="R7">
            <v>15.7</v>
          </cell>
          <cell r="S7">
            <v>10</v>
          </cell>
          <cell r="T7">
            <v>33.07</v>
          </cell>
          <cell r="V7">
            <v>-1</v>
          </cell>
          <cell r="W7" t="str">
            <v>N/A</v>
          </cell>
          <cell r="AJ7">
            <v>159</v>
          </cell>
          <cell r="AK7">
            <v>28</v>
          </cell>
          <cell r="AL7">
            <v>28</v>
          </cell>
          <cell r="AM7">
            <v>28</v>
          </cell>
          <cell r="AN7">
            <v>28</v>
          </cell>
          <cell r="AO7">
            <v>28</v>
          </cell>
          <cell r="AP7">
            <v>28</v>
          </cell>
          <cell r="AR7" t="str">
            <v>Standard</v>
          </cell>
          <cell r="AS7">
            <v>50</v>
          </cell>
          <cell r="AU7">
            <v>0</v>
          </cell>
        </row>
        <row r="8">
          <cell r="A8" t="str">
            <v>B08PFHQPG9</v>
          </cell>
          <cell r="B8">
            <v>6</v>
          </cell>
          <cell r="C8">
            <v>32877</v>
          </cell>
          <cell r="D8" t="str">
            <v>Clear_IBM_2Sphere</v>
          </cell>
          <cell r="E8" t="str">
            <v>Mature</v>
          </cell>
          <cell r="F8" t="str">
            <v>Clear Ice 2 Balls Maker</v>
          </cell>
          <cell r="G8" t="str">
            <v>B08PFHQPG9</v>
          </cell>
          <cell r="H8">
            <v>612</v>
          </cell>
          <cell r="I8">
            <v>44699</v>
          </cell>
          <cell r="N8">
            <v>500</v>
          </cell>
          <cell r="O8" t="str">
            <v>CHINA</v>
          </cell>
          <cell r="P8">
            <v>12</v>
          </cell>
          <cell r="Q8">
            <v>16.899999999999999</v>
          </cell>
          <cell r="R8">
            <v>16.899999999999999</v>
          </cell>
          <cell r="S8">
            <v>18.899999999999999</v>
          </cell>
          <cell r="T8">
            <v>34.17</v>
          </cell>
          <cell r="V8">
            <v>-1</v>
          </cell>
          <cell r="W8" t="str">
            <v>N/A</v>
          </cell>
          <cell r="AJ8">
            <v>492</v>
          </cell>
          <cell r="AK8">
            <v>796</v>
          </cell>
          <cell r="AL8">
            <v>796</v>
          </cell>
          <cell r="AM8">
            <v>796</v>
          </cell>
          <cell r="AN8">
            <v>796</v>
          </cell>
          <cell r="AO8">
            <v>796</v>
          </cell>
          <cell r="AP8">
            <v>796</v>
          </cell>
          <cell r="AR8" t="str">
            <v>Standard</v>
          </cell>
          <cell r="AS8">
            <v>50</v>
          </cell>
          <cell r="AU8">
            <v>0</v>
          </cell>
        </row>
        <row r="9">
          <cell r="A9" t="str">
            <v>B092DVVH9C</v>
          </cell>
          <cell r="B9">
            <v>7</v>
          </cell>
          <cell r="C9">
            <v>32876</v>
          </cell>
          <cell r="D9" t="str">
            <v>Clear_IBM_1Ball</v>
          </cell>
          <cell r="E9" t="str">
            <v>Mature</v>
          </cell>
          <cell r="F9" t="str">
            <v>Clear Ice 1 Ball Maker</v>
          </cell>
          <cell r="G9" t="str">
            <v>B092DVVH9C</v>
          </cell>
          <cell r="H9">
            <v>1000</v>
          </cell>
          <cell r="I9">
            <v>44715</v>
          </cell>
          <cell r="N9">
            <v>500</v>
          </cell>
          <cell r="O9" t="str">
            <v>CHINA</v>
          </cell>
          <cell r="P9">
            <v>20</v>
          </cell>
          <cell r="Q9">
            <v>17.7</v>
          </cell>
          <cell r="R9">
            <v>16.100000000000001</v>
          </cell>
          <cell r="S9">
            <v>14.2</v>
          </cell>
          <cell r="T9">
            <v>27.56</v>
          </cell>
          <cell r="V9">
            <v>-1</v>
          </cell>
          <cell r="W9" t="str">
            <v>N/A</v>
          </cell>
          <cell r="AJ9">
            <v>502</v>
          </cell>
          <cell r="AK9">
            <v>82</v>
          </cell>
          <cell r="AL9">
            <v>82</v>
          </cell>
          <cell r="AM9">
            <v>82</v>
          </cell>
          <cell r="AN9">
            <v>82</v>
          </cell>
          <cell r="AO9">
            <v>82</v>
          </cell>
          <cell r="AP9">
            <v>82</v>
          </cell>
          <cell r="AR9" t="str">
            <v>Standard</v>
          </cell>
          <cell r="AS9">
            <v>50</v>
          </cell>
          <cell r="AU9">
            <v>0</v>
          </cell>
        </row>
        <row r="10">
          <cell r="A10" t="str">
            <v>B092R21Y9Q</v>
          </cell>
          <cell r="B10">
            <v>8</v>
          </cell>
          <cell r="C10">
            <v>32879</v>
          </cell>
          <cell r="D10" t="str">
            <v>Clear_ICM_2Cubes</v>
          </cell>
          <cell r="E10" t="str">
            <v>Mature</v>
          </cell>
          <cell r="F10" t="str">
            <v>Clear Ice 2 Cubes Maker</v>
          </cell>
          <cell r="G10" t="str">
            <v>B092R21Y9Q</v>
          </cell>
          <cell r="H10">
            <v>312</v>
          </cell>
          <cell r="I10">
            <v>44699</v>
          </cell>
          <cell r="N10">
            <v>500</v>
          </cell>
          <cell r="O10" t="str">
            <v>CHINA</v>
          </cell>
          <cell r="P10">
            <v>12</v>
          </cell>
          <cell r="Q10">
            <v>16.899999999999999</v>
          </cell>
          <cell r="R10">
            <v>16.899999999999999</v>
          </cell>
          <cell r="S10">
            <v>18.899999999999999</v>
          </cell>
          <cell r="T10">
            <v>34.17</v>
          </cell>
          <cell r="V10">
            <v>-1</v>
          </cell>
          <cell r="W10" t="str">
            <v>N/A</v>
          </cell>
          <cell r="AJ10">
            <v>831</v>
          </cell>
          <cell r="AK10">
            <v>191</v>
          </cell>
          <cell r="AL10">
            <v>191</v>
          </cell>
          <cell r="AM10">
            <v>191</v>
          </cell>
          <cell r="AN10">
            <v>191</v>
          </cell>
          <cell r="AO10">
            <v>191</v>
          </cell>
          <cell r="AP10">
            <v>191</v>
          </cell>
          <cell r="AR10" t="str">
            <v>Standard</v>
          </cell>
          <cell r="AS10">
            <v>50</v>
          </cell>
          <cell r="AU10">
            <v>0</v>
          </cell>
        </row>
        <row r="11">
          <cell r="A11" t="str">
            <v>B092R2KRXD</v>
          </cell>
          <cell r="B11">
            <v>9</v>
          </cell>
          <cell r="C11">
            <v>32878</v>
          </cell>
          <cell r="D11" t="str">
            <v>Clear_IBM_4Balls</v>
          </cell>
          <cell r="E11" t="str">
            <v>Mature</v>
          </cell>
          <cell r="F11" t="str">
            <v>Clear Ice 4 Balls Maker</v>
          </cell>
          <cell r="G11" t="str">
            <v>B092R2KRXD</v>
          </cell>
          <cell r="H11">
            <v>352</v>
          </cell>
          <cell r="I11">
            <v>44699</v>
          </cell>
          <cell r="N11">
            <v>500</v>
          </cell>
          <cell r="O11" t="str">
            <v>CHINA</v>
          </cell>
          <cell r="P11">
            <v>8</v>
          </cell>
          <cell r="Q11">
            <v>13.9</v>
          </cell>
          <cell r="R11">
            <v>15.8</v>
          </cell>
          <cell r="S11">
            <v>16.899999999999999</v>
          </cell>
          <cell r="T11">
            <v>36.6</v>
          </cell>
          <cell r="V11">
            <v>-1</v>
          </cell>
          <cell r="W11" t="str">
            <v>N/A</v>
          </cell>
          <cell r="AJ11">
            <v>1068</v>
          </cell>
          <cell r="AK11">
            <v>477</v>
          </cell>
          <cell r="AL11">
            <v>477</v>
          </cell>
          <cell r="AM11">
            <v>477</v>
          </cell>
          <cell r="AN11">
            <v>477</v>
          </cell>
          <cell r="AO11">
            <v>477</v>
          </cell>
          <cell r="AP11">
            <v>477</v>
          </cell>
          <cell r="AR11" t="str">
            <v>Standard</v>
          </cell>
          <cell r="AS11">
            <v>50</v>
          </cell>
          <cell r="AU11">
            <v>0</v>
          </cell>
        </row>
        <row r="12">
          <cell r="A12" t="str">
            <v>B0936TV62Z</v>
          </cell>
          <cell r="B12">
            <v>10</v>
          </cell>
          <cell r="C12">
            <v>32885</v>
          </cell>
          <cell r="D12" t="str">
            <v>WG_2_Twist</v>
          </cell>
          <cell r="E12" t="str">
            <v>Mature</v>
          </cell>
          <cell r="F12" t="str">
            <v>Whiskey Glasses Set of 2</v>
          </cell>
          <cell r="G12" t="str">
            <v>B0936TV62Z</v>
          </cell>
          <cell r="H12">
            <v>408</v>
          </cell>
          <cell r="I12">
            <v>44699</v>
          </cell>
          <cell r="N12">
            <v>500</v>
          </cell>
          <cell r="O12" t="str">
            <v>CHINA</v>
          </cell>
          <cell r="P12">
            <v>12</v>
          </cell>
          <cell r="Q12">
            <v>20.100000000000001</v>
          </cell>
          <cell r="R12">
            <v>16.7</v>
          </cell>
          <cell r="S12">
            <v>20.5</v>
          </cell>
          <cell r="T12">
            <v>41.89</v>
          </cell>
          <cell r="V12">
            <v>-1</v>
          </cell>
          <cell r="W12" t="str">
            <v>N/A</v>
          </cell>
          <cell r="AJ12">
            <v>409</v>
          </cell>
          <cell r="AK12">
            <v>3</v>
          </cell>
          <cell r="AL12">
            <v>3</v>
          </cell>
          <cell r="AM12">
            <v>3</v>
          </cell>
          <cell r="AN12">
            <v>3</v>
          </cell>
          <cell r="AO12">
            <v>3</v>
          </cell>
          <cell r="AP12">
            <v>3</v>
          </cell>
          <cell r="AR12" t="str">
            <v>Standard</v>
          </cell>
          <cell r="AS12">
            <v>50</v>
          </cell>
          <cell r="AU12">
            <v>0</v>
          </cell>
        </row>
        <row r="13">
          <cell r="A13" t="str">
            <v>B096MRNRVK</v>
          </cell>
          <cell r="B13">
            <v>11</v>
          </cell>
          <cell r="C13">
            <v>32884</v>
          </cell>
          <cell r="D13" t="str">
            <v>WG_2_Rhomb</v>
          </cell>
          <cell r="E13" t="str">
            <v>Mature</v>
          </cell>
          <cell r="F13" t="str">
            <v>Whiskey Glasses Set of 2</v>
          </cell>
          <cell r="G13" t="str">
            <v>B096MRNRVK</v>
          </cell>
          <cell r="H13">
            <v>408</v>
          </cell>
          <cell r="I13">
            <v>44699</v>
          </cell>
          <cell r="N13">
            <v>500</v>
          </cell>
          <cell r="O13" t="str">
            <v>CHINA</v>
          </cell>
          <cell r="P13">
            <v>24</v>
          </cell>
          <cell r="Q13">
            <v>18.100000000000001</v>
          </cell>
          <cell r="R13">
            <v>15</v>
          </cell>
          <cell r="S13">
            <v>20.5</v>
          </cell>
          <cell r="T13">
            <v>37.479999999999997</v>
          </cell>
          <cell r="V13">
            <v>-1</v>
          </cell>
          <cell r="W13" t="str">
            <v>N/A</v>
          </cell>
          <cell r="AJ13">
            <v>383</v>
          </cell>
          <cell r="AK13">
            <v>3</v>
          </cell>
          <cell r="AL13">
            <v>3</v>
          </cell>
          <cell r="AM13">
            <v>3</v>
          </cell>
          <cell r="AN13">
            <v>3</v>
          </cell>
          <cell r="AO13">
            <v>3</v>
          </cell>
          <cell r="AP13">
            <v>3</v>
          </cell>
          <cell r="AR13" t="str">
            <v>Standard</v>
          </cell>
          <cell r="AS13">
            <v>50</v>
          </cell>
          <cell r="AU13">
            <v>0</v>
          </cell>
        </row>
        <row r="14">
          <cell r="A14" t="str">
            <v>B096MTGRBF</v>
          </cell>
          <cell r="B14">
            <v>12</v>
          </cell>
          <cell r="C14">
            <v>32886</v>
          </cell>
          <cell r="D14" t="str">
            <v>WG_4_Circle</v>
          </cell>
          <cell r="E14" t="str">
            <v>Mature</v>
          </cell>
          <cell r="F14" t="str">
            <v>Whiskey Glasses Set of 4</v>
          </cell>
          <cell r="G14" t="str">
            <v>B096MTGRBF</v>
          </cell>
          <cell r="H14">
            <v>208</v>
          </cell>
          <cell r="I14">
            <v>44699</v>
          </cell>
          <cell r="N14">
            <v>500</v>
          </cell>
          <cell r="O14" t="str">
            <v>CHINA</v>
          </cell>
          <cell r="P14">
            <v>8</v>
          </cell>
          <cell r="Q14">
            <v>18.100000000000001</v>
          </cell>
          <cell r="R14">
            <v>9.8000000000000007</v>
          </cell>
          <cell r="S14">
            <v>20.5</v>
          </cell>
          <cell r="T14">
            <v>30.86</v>
          </cell>
          <cell r="V14">
            <v>-1</v>
          </cell>
          <cell r="W14" t="str">
            <v>N/A</v>
          </cell>
          <cell r="AJ14">
            <v>290</v>
          </cell>
          <cell r="AK14">
            <v>52</v>
          </cell>
          <cell r="AL14">
            <v>52</v>
          </cell>
          <cell r="AM14">
            <v>52</v>
          </cell>
          <cell r="AN14">
            <v>52</v>
          </cell>
          <cell r="AO14">
            <v>52</v>
          </cell>
          <cell r="AP14">
            <v>52</v>
          </cell>
          <cell r="AR14" t="str">
            <v>Standard</v>
          </cell>
          <cell r="AS14">
            <v>50</v>
          </cell>
          <cell r="AU14">
            <v>0</v>
          </cell>
        </row>
        <row r="15">
          <cell r="A15" t="str">
            <v>B09JWBFTYK</v>
          </cell>
          <cell r="B15">
            <v>13</v>
          </cell>
          <cell r="C15">
            <v>44694</v>
          </cell>
          <cell r="D15" t="str">
            <v>4Cubes_ClM</v>
          </cell>
          <cell r="E15" t="str">
            <v>Mature</v>
          </cell>
          <cell r="F15" t="str">
            <v>Clear Ice 4 Cubes Maker</v>
          </cell>
          <cell r="G15" t="str">
            <v>B09JWBFTYK</v>
          </cell>
          <cell r="H15">
            <v>232</v>
          </cell>
          <cell r="I15">
            <v>44699</v>
          </cell>
          <cell r="N15">
            <v>500</v>
          </cell>
          <cell r="O15" t="str">
            <v>CHINA</v>
          </cell>
          <cell r="P15">
            <v>8</v>
          </cell>
          <cell r="Q15">
            <v>13.9</v>
          </cell>
          <cell r="R15">
            <v>15.8</v>
          </cell>
          <cell r="S15">
            <v>16.899999999999999</v>
          </cell>
          <cell r="T15">
            <v>36.6</v>
          </cell>
          <cell r="V15">
            <v>-1</v>
          </cell>
          <cell r="W15" t="str">
            <v>N/A</v>
          </cell>
          <cell r="AJ15">
            <v>642</v>
          </cell>
          <cell r="AK15">
            <v>147</v>
          </cell>
          <cell r="AL15">
            <v>147</v>
          </cell>
          <cell r="AM15">
            <v>147</v>
          </cell>
          <cell r="AN15">
            <v>147</v>
          </cell>
          <cell r="AO15">
            <v>147</v>
          </cell>
          <cell r="AP15">
            <v>147</v>
          </cell>
          <cell r="AR15" t="str">
            <v>Standard</v>
          </cell>
          <cell r="AS15">
            <v>50</v>
          </cell>
          <cell r="AU15">
            <v>0</v>
          </cell>
        </row>
        <row r="16">
          <cell r="A16" t="str">
            <v>B09PKJCL4H</v>
          </cell>
          <cell r="B16">
            <v>14</v>
          </cell>
          <cell r="C16">
            <v>32887</v>
          </cell>
          <cell r="D16" t="str">
            <v>WG_4_Twisted</v>
          </cell>
          <cell r="E16" t="str">
            <v>Mature</v>
          </cell>
          <cell r="F16" t="str">
            <v>Whiskey Glasses Set of 4</v>
          </cell>
          <cell r="G16" t="str">
            <v>B09PKJCL4H</v>
          </cell>
          <cell r="H16">
            <v>208</v>
          </cell>
          <cell r="I16">
            <v>44699</v>
          </cell>
          <cell r="N16">
            <v>500</v>
          </cell>
          <cell r="O16" t="str">
            <v>CHINA</v>
          </cell>
          <cell r="P16">
            <v>8</v>
          </cell>
          <cell r="Q16">
            <v>20.100000000000001</v>
          </cell>
          <cell r="R16">
            <v>10.4</v>
          </cell>
          <cell r="S16">
            <v>20.5</v>
          </cell>
          <cell r="T16">
            <v>34.83</v>
          </cell>
          <cell r="V16">
            <v>-1</v>
          </cell>
          <cell r="W16" t="str">
            <v>N/A</v>
          </cell>
          <cell r="AJ16">
            <v>213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R16" t="str">
            <v>Standard</v>
          </cell>
          <cell r="AS16">
            <v>50</v>
          </cell>
          <cell r="AU16">
            <v>0</v>
          </cell>
        </row>
        <row r="17">
          <cell r="A17" t="str">
            <v>B09PKK8R7F</v>
          </cell>
          <cell r="B17">
            <v>15</v>
          </cell>
          <cell r="C17">
            <v>32888</v>
          </cell>
          <cell r="D17" t="str">
            <v>WG_Circle_2</v>
          </cell>
          <cell r="E17" t="str">
            <v>New product</v>
          </cell>
          <cell r="F17" t="str">
            <v>Whiskey Glasses Set of 2</v>
          </cell>
          <cell r="G17" t="str">
            <v>B09PKK8R7F</v>
          </cell>
          <cell r="H17">
            <v>408</v>
          </cell>
          <cell r="I17">
            <v>44699</v>
          </cell>
          <cell r="N17">
            <v>500</v>
          </cell>
          <cell r="O17" t="str">
            <v>CHINA</v>
          </cell>
          <cell r="P17">
            <v>24</v>
          </cell>
          <cell r="Q17">
            <v>18.100000000000001</v>
          </cell>
          <cell r="R17">
            <v>15</v>
          </cell>
          <cell r="S17">
            <v>20.5</v>
          </cell>
          <cell r="T17">
            <v>37.479999999999997</v>
          </cell>
          <cell r="V17">
            <v>-1</v>
          </cell>
          <cell r="W17" t="str">
            <v>N/A</v>
          </cell>
          <cell r="AJ17">
            <v>449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R17" t="str">
            <v>Standard</v>
          </cell>
          <cell r="AS17">
            <v>50</v>
          </cell>
          <cell r="AU17">
            <v>0</v>
          </cell>
        </row>
        <row r="18">
          <cell r="A18" t="str">
            <v>B09PKKHP3X</v>
          </cell>
          <cell r="B18">
            <v>16</v>
          </cell>
          <cell r="C18">
            <v>32889</v>
          </cell>
          <cell r="D18" t="str">
            <v>WG_Rhomb_4</v>
          </cell>
          <cell r="E18" t="str">
            <v>Mature</v>
          </cell>
          <cell r="F18" t="str">
            <v>Whiskey Glasses Set of 4</v>
          </cell>
          <cell r="G18" t="str">
            <v>B09PKKHP3X</v>
          </cell>
          <cell r="H18">
            <v>208</v>
          </cell>
          <cell r="I18">
            <v>44699</v>
          </cell>
          <cell r="N18">
            <v>500</v>
          </cell>
          <cell r="O18" t="str">
            <v>CHINA</v>
          </cell>
          <cell r="P18">
            <v>8</v>
          </cell>
          <cell r="Q18">
            <v>18.100000000000001</v>
          </cell>
          <cell r="R18">
            <v>9.8000000000000007</v>
          </cell>
          <cell r="S18">
            <v>20.5</v>
          </cell>
          <cell r="T18">
            <v>30.86</v>
          </cell>
          <cell r="V18">
            <v>-1</v>
          </cell>
          <cell r="W18" t="str">
            <v>N/A</v>
          </cell>
          <cell r="AJ18">
            <v>217</v>
          </cell>
          <cell r="AK18">
            <v>2</v>
          </cell>
          <cell r="AL18">
            <v>2</v>
          </cell>
          <cell r="AM18">
            <v>2</v>
          </cell>
          <cell r="AN18">
            <v>2</v>
          </cell>
          <cell r="AO18">
            <v>2</v>
          </cell>
          <cell r="AP18">
            <v>2</v>
          </cell>
          <cell r="AR18" t="str">
            <v>Standard</v>
          </cell>
          <cell r="AS18">
            <v>50</v>
          </cell>
          <cell r="AU1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sinessReport-5-07-22"/>
      <sheetName val="BusinessReport-4-30-22"/>
      <sheetName val="BusinessReport-4-23-22"/>
      <sheetName val="BusinessReport-4-16-22"/>
      <sheetName val="BusinessReport-4-09-22"/>
      <sheetName val="BusinessReport-4-02-22"/>
      <sheetName val="BusinessReport-3-26-22"/>
      <sheetName val="BusinessReport-3-19-22"/>
      <sheetName val="BusinessReport-3-12-22"/>
      <sheetName val="BusinessReport-3-06-22"/>
      <sheetName val="Report-april-math"/>
      <sheetName val="Sheet7"/>
      <sheetName val="Inventory_05.08.22"/>
      <sheetName val="Stock Ma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B08KW6J37L</v>
          </cell>
          <cell r="C1" t="str">
            <v>Cocktail Shaker Set Bartender Kit - Premium Quality 15-Piece Bar Accessories for The Home Bar Set, Mixed Drink Shaker Kit with Cocktail Cards and Bar Mat, Stainless Steel Bartender Kit with Stand</v>
          </cell>
          <cell r="D1">
            <v>95</v>
          </cell>
          <cell r="E1" t="str">
            <v>0.82%</v>
          </cell>
          <cell r="F1">
            <v>214</v>
          </cell>
          <cell r="G1" t="str">
            <v>1.41%</v>
          </cell>
          <cell r="H1" t="str">
            <v>61.68%</v>
          </cell>
          <cell r="I1">
            <v>2</v>
          </cell>
          <cell r="J1">
            <v>0</v>
          </cell>
          <cell r="K1" t="str">
            <v>2.11%</v>
          </cell>
          <cell r="L1" t="str">
            <v>0.00%</v>
          </cell>
          <cell r="M1">
            <v>93.11</v>
          </cell>
          <cell r="N1" t="str">
            <v>$0.00</v>
          </cell>
          <cell r="O1">
            <v>2</v>
          </cell>
          <cell r="P1">
            <v>0</v>
          </cell>
          <cell r="R1">
            <v>46.555</v>
          </cell>
        </row>
        <row r="2">
          <cell r="B2" t="str">
            <v>B08PFHQPG9</v>
          </cell>
          <cell r="C2" t="str">
            <v>Premium Clear Ice Ball Maker Mold - Whiskey Ice Ball Maker Large 2.4 Inch - Crystal Clear Ice Maker Sphere - Sphere Ice Mold Maker with Storage Bag - Clear Ice Mold for Clear Sphere Ball Ice Maker</v>
          </cell>
          <cell r="D2">
            <v>6.1950000000000003</v>
          </cell>
          <cell r="E2" t="str">
            <v>53.76%</v>
          </cell>
          <cell r="F2">
            <v>8.6140000000000008</v>
          </cell>
          <cell r="G2" t="str">
            <v>56.87%</v>
          </cell>
          <cell r="H2" t="str">
            <v>99.04%</v>
          </cell>
          <cell r="I2">
            <v>174</v>
          </cell>
          <cell r="J2">
            <v>1</v>
          </cell>
          <cell r="K2" t="str">
            <v>2.81%</v>
          </cell>
          <cell r="L2" t="str">
            <v>0.02%</v>
          </cell>
          <cell r="M2">
            <v>9135.2999999999993</v>
          </cell>
          <cell r="N2" t="str">
            <v>$50.95</v>
          </cell>
          <cell r="O2">
            <v>174</v>
          </cell>
          <cell r="P2">
            <v>1</v>
          </cell>
          <cell r="R2">
            <v>52.501724137931028</v>
          </cell>
        </row>
        <row r="3">
          <cell r="B3" t="str">
            <v>B092DVVH9C</v>
          </cell>
          <cell r="C3" t="str">
            <v>Premium Clear Ice Ball Maker Mold - Whiskey Ice Ball Maker Large 2.4 Inch - Crystal Clear Ice Maker Sphere - Sphere Ice Mold Maker - Clear Ice Mold for Clear Sphere Ball Ice Maker (Ice Maker 1 Ball)</v>
          </cell>
          <cell r="D3">
            <v>496</v>
          </cell>
          <cell r="E3" t="str">
            <v>4.30%</v>
          </cell>
          <cell r="F3">
            <v>567</v>
          </cell>
          <cell r="G3" t="str">
            <v>3.74%</v>
          </cell>
          <cell r="H3" t="str">
            <v>99.82%</v>
          </cell>
          <cell r="I3">
            <v>28</v>
          </cell>
          <cell r="J3">
            <v>0</v>
          </cell>
          <cell r="K3" t="str">
            <v>5.65%</v>
          </cell>
          <cell r="L3" t="str">
            <v>0.00%</v>
          </cell>
          <cell r="M3">
            <v>721.6</v>
          </cell>
          <cell r="N3" t="str">
            <v>$0.00</v>
          </cell>
          <cell r="O3">
            <v>22</v>
          </cell>
          <cell r="P3">
            <v>0</v>
          </cell>
          <cell r="R3">
            <v>25.771428571428572</v>
          </cell>
        </row>
        <row r="4">
          <cell r="B4" t="str">
            <v>B092R21Y9Q</v>
          </cell>
          <cell r="C4" t="str">
            <v>Premium Clear Ice Cube Maker Mold - Whiskey Large Clear Ice Cube Maker 2 Inch - Crystal Clear Ice Maker Cube - Clear Cube Ice Mold Maker with Storage Bag - 2 Ice Cubes Clear</v>
          </cell>
          <cell r="D4">
            <v>1.6080000000000001</v>
          </cell>
          <cell r="E4" t="str">
            <v>13.95%</v>
          </cell>
          <cell r="F4">
            <v>1.8959999999999999</v>
          </cell>
          <cell r="G4" t="str">
            <v>12.52%</v>
          </cell>
          <cell r="H4" t="str">
            <v>99.68%</v>
          </cell>
          <cell r="I4">
            <v>30</v>
          </cell>
          <cell r="J4">
            <v>0</v>
          </cell>
          <cell r="K4" t="str">
            <v>1.87%</v>
          </cell>
          <cell r="L4" t="str">
            <v>0.00%</v>
          </cell>
          <cell r="M4">
            <v>1547.34</v>
          </cell>
          <cell r="N4" t="str">
            <v>$0.00</v>
          </cell>
          <cell r="O4">
            <v>30</v>
          </cell>
          <cell r="P4">
            <v>0</v>
          </cell>
          <cell r="R4">
            <v>51.577999999999996</v>
          </cell>
        </row>
        <row r="5">
          <cell r="B5" t="str">
            <v>B092R2KRXD</v>
          </cell>
          <cell r="C5" t="str">
            <v>Premium Clear Ice Ball Maker Mold - Whiskey Ice Ball Maker Large 2.4 Inch - Crystal Clear Ice Maker Sphere - Sphere Ice Mold Maker with Storage Bag - Clear Ice Mold for Prepare 4 Balls at Once</v>
          </cell>
          <cell r="D5">
            <v>2.1970000000000001</v>
          </cell>
          <cell r="E5" t="str">
            <v>19.07%</v>
          </cell>
          <cell r="F5">
            <v>2.6949999999999998</v>
          </cell>
          <cell r="G5" t="str">
            <v>17.79%</v>
          </cell>
          <cell r="H5" t="str">
            <v>99.70%</v>
          </cell>
          <cell r="I5">
            <v>108</v>
          </cell>
          <cell r="J5">
            <v>0</v>
          </cell>
          <cell r="K5" t="str">
            <v>4.92%</v>
          </cell>
          <cell r="L5" t="str">
            <v>0.00%</v>
          </cell>
          <cell r="M5">
            <v>8194.4</v>
          </cell>
          <cell r="N5" t="str">
            <v>$0.00</v>
          </cell>
          <cell r="O5">
            <v>104</v>
          </cell>
          <cell r="P5">
            <v>0</v>
          </cell>
          <cell r="R5">
            <v>75.874074074074073</v>
          </cell>
        </row>
        <row r="6">
          <cell r="B6" t="str">
            <v>B0936TV62Z</v>
          </cell>
          <cell r="C6" t="str">
            <v>Old Fashioned Whiskey Glasses - Rocks Glasses in Gift Box, Bourbon glass set, Old Fashioned Glass and Scotch Glasses for Men, Whiskey Glass for Cognac, Whisky, Liquor and Cocktail.. (Twisted - 2 pcs)</v>
          </cell>
          <cell r="D6">
            <v>17</v>
          </cell>
          <cell r="E6" t="str">
            <v>0.15%</v>
          </cell>
          <cell r="F6">
            <v>22</v>
          </cell>
          <cell r="G6" t="str">
            <v>0.15%</v>
          </cell>
          <cell r="H6" t="str">
            <v>59.09%</v>
          </cell>
          <cell r="I6">
            <v>0</v>
          </cell>
          <cell r="J6">
            <v>0</v>
          </cell>
          <cell r="K6" t="str">
            <v>0.00%</v>
          </cell>
          <cell r="L6" t="str">
            <v>0.00%</v>
          </cell>
          <cell r="M6">
            <v>0</v>
          </cell>
          <cell r="N6" t="str">
            <v>$0.00</v>
          </cell>
          <cell r="O6">
            <v>0</v>
          </cell>
          <cell r="P6">
            <v>0</v>
          </cell>
          <cell r="R6">
            <v>0</v>
          </cell>
        </row>
        <row r="7">
          <cell r="B7" t="str">
            <v>B096MRNRVK</v>
          </cell>
          <cell r="C7" t="str">
            <v>Old Fashioned Whiskey Glasses - Rocks Glasses in Gift Box, Bourbon glass set, Old Fashioned Glass and Scotch Glasses for Men, Whiskey Glass for Cognac, Whisky, Liquor and Cocktail.. (Rhomb - 2 pcs)</v>
          </cell>
          <cell r="D7">
            <v>25</v>
          </cell>
          <cell r="E7" t="str">
            <v>0.22%</v>
          </cell>
          <cell r="F7">
            <v>36</v>
          </cell>
          <cell r="G7" t="str">
            <v>0.24%</v>
          </cell>
          <cell r="H7" t="str">
            <v>100.00%</v>
          </cell>
          <cell r="I7">
            <v>1</v>
          </cell>
          <cell r="J7">
            <v>0</v>
          </cell>
          <cell r="K7" t="str">
            <v>4.00%</v>
          </cell>
          <cell r="L7" t="str">
            <v>0.00%</v>
          </cell>
          <cell r="M7">
            <v>19.95</v>
          </cell>
          <cell r="N7" t="str">
            <v>$0.00</v>
          </cell>
          <cell r="O7">
            <v>1</v>
          </cell>
          <cell r="P7">
            <v>0</v>
          </cell>
          <cell r="R7">
            <v>19.95</v>
          </cell>
        </row>
        <row r="8">
          <cell r="B8" t="str">
            <v>B096MTGRBF</v>
          </cell>
          <cell r="C8" t="str">
            <v>Old Fashioned Whiskey Glasses - Rocks Glasses in Gift Box, Bourbon glass set, Old Fashioned Glass and Scotch Glasses for Men, Whiskey Glass for Cognac, Whisky, Liquor and Cocktail.. (Circle - 4 pcs)</v>
          </cell>
          <cell r="D8">
            <v>124</v>
          </cell>
          <cell r="E8" t="str">
            <v>1.08%</v>
          </cell>
          <cell r="F8">
            <v>179</v>
          </cell>
          <cell r="G8" t="str">
            <v>1.18%</v>
          </cell>
          <cell r="H8" t="str">
            <v>100.00%</v>
          </cell>
          <cell r="I8">
            <v>12</v>
          </cell>
          <cell r="J8">
            <v>0</v>
          </cell>
          <cell r="K8" t="str">
            <v>9.68%</v>
          </cell>
          <cell r="L8" t="str">
            <v>0.00%</v>
          </cell>
          <cell r="M8">
            <v>359.4</v>
          </cell>
          <cell r="N8" t="str">
            <v>$0.00</v>
          </cell>
          <cell r="O8">
            <v>9</v>
          </cell>
          <cell r="P8">
            <v>0</v>
          </cell>
          <cell r="R8">
            <v>29.95</v>
          </cell>
        </row>
        <row r="9">
          <cell r="B9" t="str">
            <v>B09F66V4J2</v>
          </cell>
          <cell r="C9" t="str">
            <v>BERLINZO Best Professional Cocktail Kit - Premium Clear Ice Ball Maker Mold and Bartender Kit in One Set - Whiskey Ice Ball Maker Large 2.4 Inch - 15-piece Bar Accessories For The Home Bar Set</v>
          </cell>
          <cell r="D9">
            <v>21</v>
          </cell>
          <cell r="E9" t="str">
            <v>0.18%</v>
          </cell>
          <cell r="F9">
            <v>26</v>
          </cell>
          <cell r="G9" t="str">
            <v>0.17%</v>
          </cell>
          <cell r="H9" t="str">
            <v>100.00%</v>
          </cell>
          <cell r="I9">
            <v>0</v>
          </cell>
          <cell r="J9">
            <v>0</v>
          </cell>
          <cell r="K9" t="str">
            <v>0.00%</v>
          </cell>
          <cell r="L9" t="str">
            <v>0.00%</v>
          </cell>
          <cell r="M9">
            <v>0</v>
          </cell>
          <cell r="N9" t="str">
            <v>$0.00</v>
          </cell>
          <cell r="O9">
            <v>0</v>
          </cell>
          <cell r="P9">
            <v>0</v>
          </cell>
          <cell r="R9">
            <v>0</v>
          </cell>
        </row>
        <row r="10">
          <cell r="B10" t="str">
            <v>B09GB4KZLW</v>
          </cell>
          <cell r="C10" t="str">
            <v>BERLINZO Clear Ice Ball Maker Mold - Whiskey Large Clear Ice Cube Maker 2 Inch - Crystal Clear Ice Maker Sphere - Clear Cube Ice Mold Maker with Storage Bag - 2 Ice Cubes Clear Sphere Ball Ice Maker</v>
          </cell>
          <cell r="D10">
            <v>48</v>
          </cell>
          <cell r="E10" t="str">
            <v>0.42%</v>
          </cell>
          <cell r="F10">
            <v>64</v>
          </cell>
          <cell r="G10" t="str">
            <v>0.42%</v>
          </cell>
          <cell r="H10" t="str">
            <v>12.50%</v>
          </cell>
          <cell r="I10">
            <v>0</v>
          </cell>
          <cell r="J10">
            <v>0</v>
          </cell>
          <cell r="K10" t="str">
            <v>0.00%</v>
          </cell>
          <cell r="L10" t="str">
            <v>0.00%</v>
          </cell>
          <cell r="M10">
            <v>0</v>
          </cell>
          <cell r="N10" t="str">
            <v>$0.00</v>
          </cell>
          <cell r="O10">
            <v>0</v>
          </cell>
          <cell r="P10">
            <v>0</v>
          </cell>
          <cell r="R10">
            <v>0</v>
          </cell>
        </row>
        <row r="11">
          <cell r="B11" t="str">
            <v>B09JWBFTYK</v>
          </cell>
          <cell r="C11" t="str">
            <v>Premium Clear Ice Cube Maker Mold - Whiskey Large Clear Ice Cube Maker 2 Inch - Crystal Clear Ice Maker Cube - Clear Cube Ice Mold Maker with Storage Bag - 4 Ice Cubes Clear at Once</v>
          </cell>
          <cell r="D11">
            <v>587</v>
          </cell>
          <cell r="E11" t="str">
            <v>5.09%</v>
          </cell>
          <cell r="F11">
            <v>706</v>
          </cell>
          <cell r="G11" t="str">
            <v>4.66%</v>
          </cell>
          <cell r="H11" t="str">
            <v>99.15%</v>
          </cell>
          <cell r="I11">
            <v>38</v>
          </cell>
          <cell r="J11">
            <v>1</v>
          </cell>
          <cell r="K11" t="str">
            <v>6.47%</v>
          </cell>
          <cell r="L11" t="str">
            <v>0.17%</v>
          </cell>
          <cell r="M11">
            <v>2886.5</v>
          </cell>
          <cell r="N11" t="str">
            <v>$73.90</v>
          </cell>
          <cell r="O11">
            <v>38</v>
          </cell>
          <cell r="P11">
            <v>1</v>
          </cell>
          <cell r="R11">
            <v>75.96052631578948</v>
          </cell>
        </row>
        <row r="12">
          <cell r="B12" t="str">
            <v>B09N7DFKTL</v>
          </cell>
          <cell r="C12" t="str">
            <v>BERLINZO Premium Clear Ice Ball Maker Mold And Whiskey Glasses In One Set - Whiskey Ice Ball Maker Large 2.4 Inch - The Best Set for 4 Persons for The Home Bar - 4 Rocks Glasses in Gift Box</v>
          </cell>
          <cell r="D12">
            <v>7</v>
          </cell>
          <cell r="E12" t="str">
            <v>0.06%</v>
          </cell>
          <cell r="F12">
            <v>9</v>
          </cell>
          <cell r="G12" t="str">
            <v>0.06%</v>
          </cell>
          <cell r="H12" t="str">
            <v>0.00%</v>
          </cell>
          <cell r="I12">
            <v>0</v>
          </cell>
          <cell r="J12">
            <v>0</v>
          </cell>
          <cell r="K12" t="str">
            <v>0.00%</v>
          </cell>
          <cell r="L12" t="str">
            <v>0.00%</v>
          </cell>
          <cell r="M12" t="str">
            <v>$0.00</v>
          </cell>
          <cell r="N12" t="str">
            <v>$0.00</v>
          </cell>
          <cell r="O12">
            <v>0</v>
          </cell>
          <cell r="P12">
            <v>0</v>
          </cell>
          <cell r="R12">
            <v>0</v>
          </cell>
        </row>
        <row r="13">
          <cell r="B13" t="str">
            <v>B09N7HQ483</v>
          </cell>
          <cell r="C13" t="str">
            <v>BERLINZO Clear Ice Ball Maker Mold - Whiskey Large Clear Ice Cube Maker 2 Inch - Crystal Clear Ice Maker Sphere - Clear Cube Ice Mold Maker with Storage Bag - 2 Ice Cubes and 4 Balls Ice Makers</v>
          </cell>
          <cell r="D13">
            <v>8</v>
          </cell>
          <cell r="E13" t="str">
            <v>0.07%</v>
          </cell>
          <cell r="F13">
            <v>8</v>
          </cell>
          <cell r="G13" t="str">
            <v>0.05%</v>
          </cell>
          <cell r="H13" t="str">
            <v>0.00%</v>
          </cell>
          <cell r="I13">
            <v>0</v>
          </cell>
          <cell r="J13">
            <v>0</v>
          </cell>
          <cell r="K13" t="str">
            <v>0.00%</v>
          </cell>
          <cell r="L13" t="str">
            <v>0.00%</v>
          </cell>
          <cell r="M13" t="str">
            <v>$0.00</v>
          </cell>
          <cell r="N13" t="str">
            <v>$0.00</v>
          </cell>
          <cell r="O13">
            <v>0</v>
          </cell>
          <cell r="P13">
            <v>0</v>
          </cell>
          <cell r="R13">
            <v>0</v>
          </cell>
        </row>
        <row r="14">
          <cell r="B14" t="str">
            <v>B09N7KD8SC</v>
          </cell>
          <cell r="C14" t="str">
            <v>BERLINZO Premium Clear Ice Ball Maker Mold And 2 Whiskey Glasses In One Set - Whiskey Ice Ball Maker Large 2.4 Inch - The Best Cocktail Set for The Home Bar - 2 Rocks Glasses and Ice 2 Balls Maker</v>
          </cell>
          <cell r="D14">
            <v>6</v>
          </cell>
          <cell r="E14" t="str">
            <v>0.05%</v>
          </cell>
          <cell r="F14">
            <v>7</v>
          </cell>
          <cell r="G14" t="str">
            <v>0.05%</v>
          </cell>
          <cell r="H14" t="str">
            <v>0.00%</v>
          </cell>
          <cell r="I14">
            <v>0</v>
          </cell>
          <cell r="J14">
            <v>0</v>
          </cell>
          <cell r="K14" t="str">
            <v>0.00%</v>
          </cell>
          <cell r="L14" t="str">
            <v>0.00%</v>
          </cell>
          <cell r="M14" t="str">
            <v>$0.00</v>
          </cell>
          <cell r="N14" t="str">
            <v>$0.00</v>
          </cell>
          <cell r="O14">
            <v>0</v>
          </cell>
          <cell r="P14">
            <v>0</v>
          </cell>
          <cell r="R14">
            <v>0</v>
          </cell>
        </row>
        <row r="15">
          <cell r="B15" t="str">
            <v>B09N7KD9PC</v>
          </cell>
          <cell r="C15" t="str">
            <v>BERLINZO Best Professional Cocktail Kit - Premium Clear Ice Ball Maker Mold, Whiskey Glasses and Bartender Kit In One Set - 18-piece Bar Accessories For The Home Bar Set</v>
          </cell>
          <cell r="D15">
            <v>3</v>
          </cell>
          <cell r="E15" t="str">
            <v>0.03%</v>
          </cell>
          <cell r="F15">
            <v>6</v>
          </cell>
          <cell r="G15" t="str">
            <v>0.04%</v>
          </cell>
          <cell r="H15" t="str">
            <v>66.67%</v>
          </cell>
          <cell r="I15">
            <v>0</v>
          </cell>
          <cell r="J15">
            <v>0</v>
          </cell>
          <cell r="K15" t="str">
            <v>0.00%</v>
          </cell>
          <cell r="L15" t="str">
            <v>0.00%</v>
          </cell>
          <cell r="M15" t="str">
            <v>$0.00</v>
          </cell>
          <cell r="N15" t="str">
            <v>$0.00</v>
          </cell>
          <cell r="O15">
            <v>0</v>
          </cell>
          <cell r="P15">
            <v>0</v>
          </cell>
          <cell r="R15">
            <v>0</v>
          </cell>
        </row>
        <row r="16">
          <cell r="B16" t="str">
            <v>B09N7KLV57</v>
          </cell>
          <cell r="C16" t="str">
            <v>BERLINZO Best Professional Cocktail Kit - Premium Bartender Kit and Rock Whiskey Glasses in One Set - Set of 4 Rocks Glasses in Gift Box - 15-piece Bar Accessories For The Home Bar Set</v>
          </cell>
          <cell r="D16">
            <v>2</v>
          </cell>
          <cell r="E16" t="str">
            <v>0.02%</v>
          </cell>
          <cell r="F16">
            <v>2</v>
          </cell>
          <cell r="G16" t="str">
            <v>0.01%</v>
          </cell>
          <cell r="H16" t="str">
            <v>100.00%</v>
          </cell>
          <cell r="I16">
            <v>0</v>
          </cell>
          <cell r="J16">
            <v>0</v>
          </cell>
          <cell r="K16" t="str">
            <v>0.00%</v>
          </cell>
          <cell r="L16" t="str">
            <v>0.00%</v>
          </cell>
          <cell r="M16" t="str">
            <v>$0.00</v>
          </cell>
          <cell r="N16" t="str">
            <v>$0.00</v>
          </cell>
          <cell r="O16">
            <v>0</v>
          </cell>
          <cell r="P16">
            <v>0</v>
          </cell>
          <cell r="R16">
            <v>0</v>
          </cell>
        </row>
        <row r="17">
          <cell r="B17" t="str">
            <v>B09N7L6LB6</v>
          </cell>
          <cell r="C17" t="str">
            <v>BERLINZO Premium Clear Ice Ball Maker Mold And 2 Whiskey Glasses In One Set - Whiskey Ice Ball Maker Large 2.4 Inch - The Best Cocktail Set for The Home Bar - 2 Rocks Glasses and Ice 2 Balls Maker</v>
          </cell>
          <cell r="D17">
            <v>1</v>
          </cell>
          <cell r="E17" t="str">
            <v>0.01%</v>
          </cell>
          <cell r="F17">
            <v>1</v>
          </cell>
          <cell r="G17" t="str">
            <v>0.01%</v>
          </cell>
          <cell r="H17" t="str">
            <v>0.00%</v>
          </cell>
          <cell r="I17">
            <v>0</v>
          </cell>
          <cell r="J17">
            <v>0</v>
          </cell>
          <cell r="K17" t="str">
            <v>0.00%</v>
          </cell>
          <cell r="L17" t="str">
            <v>0.00%</v>
          </cell>
          <cell r="M17" t="str">
            <v>$0.00</v>
          </cell>
          <cell r="N17" t="str">
            <v>$0.00</v>
          </cell>
          <cell r="O17">
            <v>0</v>
          </cell>
          <cell r="P17">
            <v>0</v>
          </cell>
          <cell r="R17">
            <v>0</v>
          </cell>
        </row>
        <row r="18">
          <cell r="B18" t="str">
            <v>B09N7LLZSP</v>
          </cell>
          <cell r="C18" t="str">
            <v>BERLINZO Premium Clear Ice Ball Maker Mold And 2 Whiskey Glasses In One Set - Whiskey Ice Ball Maker Large 2.4 Inch - The Best Cocktail Set for The Home Bar - 2 Rocks Glasses and Ice 2 Cubes Maker</v>
          </cell>
          <cell r="D18">
            <v>7</v>
          </cell>
          <cell r="E18" t="str">
            <v>0.06%</v>
          </cell>
          <cell r="F18">
            <v>7</v>
          </cell>
          <cell r="G18" t="str">
            <v>0.05%</v>
          </cell>
          <cell r="H18" t="str">
            <v>14.29%</v>
          </cell>
          <cell r="I18">
            <v>0</v>
          </cell>
          <cell r="J18">
            <v>0</v>
          </cell>
          <cell r="K18" t="str">
            <v>0.00%</v>
          </cell>
          <cell r="L18" t="str">
            <v>0.00%</v>
          </cell>
          <cell r="M18" t="str">
            <v>$0.00</v>
          </cell>
          <cell r="N18" t="str">
            <v>$0.00</v>
          </cell>
          <cell r="O18">
            <v>0</v>
          </cell>
          <cell r="P18">
            <v>0</v>
          </cell>
          <cell r="R18">
            <v>0</v>
          </cell>
        </row>
        <row r="19">
          <cell r="B19" t="str">
            <v>B09N7M8927</v>
          </cell>
          <cell r="C19" t="str">
            <v>BERLINZO Premium Clear Ice Cube Maker Mold And Whiskey Glasses In One Set - Whiskey Ice Cube Maker Large 2 Inch - The Best Set for 4 Persons for The Home Bar - 4 Rocks Glasses in Gift Box</v>
          </cell>
          <cell r="D19">
            <v>6</v>
          </cell>
          <cell r="E19" t="str">
            <v>0.05%</v>
          </cell>
          <cell r="F19">
            <v>8</v>
          </cell>
          <cell r="G19" t="str">
            <v>0.05%</v>
          </cell>
          <cell r="H19" t="str">
            <v>25.00%</v>
          </cell>
          <cell r="I19">
            <v>0</v>
          </cell>
          <cell r="J19">
            <v>0</v>
          </cell>
          <cell r="K19" t="str">
            <v>0.00%</v>
          </cell>
          <cell r="L19" t="str">
            <v>0.00%</v>
          </cell>
          <cell r="M19" t="str">
            <v>$0.00</v>
          </cell>
          <cell r="N19" t="str">
            <v>$0.00</v>
          </cell>
          <cell r="O19">
            <v>0</v>
          </cell>
          <cell r="P19">
            <v>0</v>
          </cell>
          <cell r="R19">
            <v>0</v>
          </cell>
        </row>
        <row r="20">
          <cell r="B20" t="str">
            <v>B09N7MB7KC</v>
          </cell>
          <cell r="C20" t="str">
            <v>BERLINZO Best Professional Cocktail Kit - Premium Clear Ice Ball Maker Mold, Whiskey Glasses and Bartender Kit In One Set - 20-piece Bar Accessories For The Home Bar Set</v>
          </cell>
          <cell r="D20">
            <v>2</v>
          </cell>
          <cell r="E20" t="str">
            <v>0.02%</v>
          </cell>
          <cell r="F20">
            <v>2</v>
          </cell>
          <cell r="G20" t="str">
            <v>0.01%</v>
          </cell>
          <cell r="H20" t="str">
            <v>100.00%</v>
          </cell>
          <cell r="I20">
            <v>0</v>
          </cell>
          <cell r="J20">
            <v>0</v>
          </cell>
          <cell r="K20" t="str">
            <v>0.00%</v>
          </cell>
          <cell r="L20" t="str">
            <v>0.00%</v>
          </cell>
          <cell r="M20" t="str">
            <v>$0.00</v>
          </cell>
          <cell r="N20" t="str">
            <v>$0.00</v>
          </cell>
          <cell r="O20">
            <v>0</v>
          </cell>
          <cell r="P20">
            <v>0</v>
          </cell>
          <cell r="R20">
            <v>0</v>
          </cell>
        </row>
        <row r="21">
          <cell r="B21" t="str">
            <v>B09N7N5T17</v>
          </cell>
          <cell r="C21" t="str">
            <v>BERLINZO Best Professional Cocktail Kit - Premium Clear Ice Cube Maker Mold and Bartender Kit in One Set - Whiskey Ice Cube Maker Large 2 Inch - 15-piece Bar Accessories For The Home Bar Set</v>
          </cell>
          <cell r="D21">
            <v>2</v>
          </cell>
          <cell r="E21" t="str">
            <v>0.02%</v>
          </cell>
          <cell r="F21">
            <v>3</v>
          </cell>
          <cell r="G21" t="str">
            <v>0.02%</v>
          </cell>
          <cell r="H21" t="str">
            <v>33.33%</v>
          </cell>
          <cell r="I21">
            <v>0</v>
          </cell>
          <cell r="J21">
            <v>0</v>
          </cell>
          <cell r="K21" t="str">
            <v>0.00%</v>
          </cell>
          <cell r="L21" t="str">
            <v>0.00%</v>
          </cell>
          <cell r="M21" t="str">
            <v>$0.00</v>
          </cell>
          <cell r="N21" t="str">
            <v>$0.00</v>
          </cell>
          <cell r="O21">
            <v>0</v>
          </cell>
          <cell r="P21">
            <v>0</v>
          </cell>
          <cell r="R21">
            <v>0</v>
          </cell>
        </row>
        <row r="22">
          <cell r="B22" t="str">
            <v>B09N7NMWP9</v>
          </cell>
          <cell r="C22" t="str">
            <v>BERLINZO Best Professional Cocktail Kit - Premium Bartender Kit and Rock Whiskey Glasses in One Set - Set of 2 Rocks Glasses in Gift Box - 15-piece Bar Accessories For The Home Bar Set</v>
          </cell>
          <cell r="D22">
            <v>1</v>
          </cell>
          <cell r="E22" t="str">
            <v>0.01%</v>
          </cell>
          <cell r="F22">
            <v>1</v>
          </cell>
          <cell r="G22" t="str">
            <v>0.01%</v>
          </cell>
          <cell r="H22" t="str">
            <v>100.00%</v>
          </cell>
          <cell r="I22">
            <v>0</v>
          </cell>
          <cell r="J22">
            <v>0</v>
          </cell>
          <cell r="K22" t="str">
            <v>0.00%</v>
          </cell>
          <cell r="L22" t="str">
            <v>0.00%</v>
          </cell>
          <cell r="M22" t="str">
            <v>$0.00</v>
          </cell>
          <cell r="N22" t="str">
            <v>$0.00</v>
          </cell>
          <cell r="O22">
            <v>0</v>
          </cell>
          <cell r="P22">
            <v>0</v>
          </cell>
          <cell r="R22">
            <v>0</v>
          </cell>
        </row>
        <row r="23">
          <cell r="B23" t="str">
            <v>B09N7P26CY</v>
          </cell>
          <cell r="C23" t="str">
            <v>BERLINZO Best Professional Cocktail Kit - Premium Clear Ice Ball Maker Mold, Whiskey Glasses and Bartender Kit In One Set - 18-piece Bar Accessories For The Home Bar Set</v>
          </cell>
          <cell r="D23">
            <v>2</v>
          </cell>
          <cell r="E23" t="str">
            <v>0.02%</v>
          </cell>
          <cell r="F23">
            <v>2</v>
          </cell>
          <cell r="G23" t="str">
            <v>0.01%</v>
          </cell>
          <cell r="H23" t="str">
            <v>100.00%</v>
          </cell>
          <cell r="I23">
            <v>0</v>
          </cell>
          <cell r="J23">
            <v>0</v>
          </cell>
          <cell r="K23" t="str">
            <v>0.00%</v>
          </cell>
          <cell r="L23" t="str">
            <v>0.00%</v>
          </cell>
          <cell r="M23" t="str">
            <v>$0.00</v>
          </cell>
          <cell r="N23" t="str">
            <v>$0.00</v>
          </cell>
          <cell r="O23">
            <v>0</v>
          </cell>
          <cell r="P23">
            <v>0</v>
          </cell>
          <cell r="R23">
            <v>0</v>
          </cell>
        </row>
        <row r="24">
          <cell r="B24" t="str">
            <v>B09PKJCL4H</v>
          </cell>
          <cell r="C24" t="str">
            <v>Old Fashioned Whiskey Glasses - Rocks Glasses in Gift Box, Bourbon glass set, Old Fashioned Glass and Scotch Glasses for Men, Whiskey Glass for Cognac, Whisky, Liquor and Cocktail.. (Twisted - 4 pcs)</v>
          </cell>
          <cell r="D24">
            <v>18</v>
          </cell>
          <cell r="E24" t="str">
            <v>0.16%</v>
          </cell>
          <cell r="F24">
            <v>20</v>
          </cell>
          <cell r="G24" t="str">
            <v>0.13%</v>
          </cell>
          <cell r="H24" t="str">
            <v>100.00%</v>
          </cell>
          <cell r="I24">
            <v>1</v>
          </cell>
          <cell r="J24">
            <v>0</v>
          </cell>
          <cell r="K24" t="str">
            <v>5.56%</v>
          </cell>
          <cell r="L24" t="str">
            <v>0.00%</v>
          </cell>
          <cell r="M24">
            <v>24.99</v>
          </cell>
          <cell r="N24" t="str">
            <v>$0.00</v>
          </cell>
          <cell r="O24">
            <v>1</v>
          </cell>
          <cell r="P24">
            <v>0</v>
          </cell>
          <cell r="R24">
            <v>24.99</v>
          </cell>
        </row>
        <row r="25">
          <cell r="B25" t="str">
            <v>B09PKK8R7F</v>
          </cell>
          <cell r="C25" t="str">
            <v>Old Fashioned Whiskey Glasses - Rocks Glasses in Gift Box, Bourbon glass set, Old Fashioned Glass and Scotch Glasses for Men, Whiskey Glass for Cognac, Whisky, Liquor and Cocktail.. (Circle - 2 pcs)</v>
          </cell>
          <cell r="D25">
            <v>20</v>
          </cell>
          <cell r="E25" t="str">
            <v>0.17%</v>
          </cell>
          <cell r="F25">
            <v>25</v>
          </cell>
          <cell r="G25" t="str">
            <v>0.17%</v>
          </cell>
          <cell r="H25" t="str">
            <v>96.00%</v>
          </cell>
          <cell r="I25">
            <v>0</v>
          </cell>
          <cell r="J25">
            <v>0</v>
          </cell>
          <cell r="K25" t="str">
            <v>0.00%</v>
          </cell>
          <cell r="L25" t="str">
            <v>0.00%</v>
          </cell>
          <cell r="M25" t="str">
            <v>$0.00</v>
          </cell>
          <cell r="N25" t="str">
            <v>$0.00</v>
          </cell>
          <cell r="O25">
            <v>0</v>
          </cell>
          <cell r="P25">
            <v>0</v>
          </cell>
          <cell r="R25">
            <v>0</v>
          </cell>
        </row>
        <row r="26">
          <cell r="B26" t="str">
            <v>B09PKKHP3X</v>
          </cell>
          <cell r="C26" t="str">
            <v>Old Fashioned Whiskey Glasses - Rocks Glasses in Gift Box, Bourbon glass set, Old Fashioned Glass and Scotch Glasses for Men, Whiskey Glass for Cognac, Whisky, Liquor and Cocktail.. (Rhomb - 4 pcs)</v>
          </cell>
          <cell r="D26">
            <v>24</v>
          </cell>
          <cell r="E26" t="str">
            <v>0.21%</v>
          </cell>
          <cell r="F26">
            <v>27</v>
          </cell>
          <cell r="G26" t="str">
            <v>0.18%</v>
          </cell>
          <cell r="H26" t="str">
            <v>100.00%</v>
          </cell>
          <cell r="I26">
            <v>0</v>
          </cell>
          <cell r="J26">
            <v>0</v>
          </cell>
          <cell r="K26" t="str">
            <v>0.00%</v>
          </cell>
          <cell r="L26" t="str">
            <v>0.00%</v>
          </cell>
          <cell r="M26" t="str">
            <v>$0.00</v>
          </cell>
          <cell r="N26" t="str">
            <v>$0.00</v>
          </cell>
          <cell r="O26">
            <v>0</v>
          </cell>
          <cell r="P26">
            <v>0</v>
          </cell>
          <cell r="R26">
            <v>0</v>
          </cell>
        </row>
        <row r="27">
          <cell r="B27" t="str">
            <v>B09T3TDSH3</v>
          </cell>
          <cell r="C27" t="str">
            <v>BERLINZO Best Professional Cocktail Kit - Premium Clear Ice Ball Maker Mold, Whiskey Glasses and Bartender Kit in One Set - 20-Piece Bar Accessories for The Home Bar Set</v>
          </cell>
          <cell r="D27">
            <v>1</v>
          </cell>
          <cell r="E27" t="str">
            <v>0.01%</v>
          </cell>
          <cell r="F27">
            <v>1</v>
          </cell>
          <cell r="G27" t="str">
            <v>0.01%</v>
          </cell>
          <cell r="H27" t="str">
            <v>100.00%</v>
          </cell>
          <cell r="I27">
            <v>0</v>
          </cell>
          <cell r="J27">
            <v>0</v>
          </cell>
          <cell r="K27" t="str">
            <v>0.00%</v>
          </cell>
          <cell r="L27" t="str">
            <v>0.00%</v>
          </cell>
          <cell r="M27" t="str">
            <v>$0.00</v>
          </cell>
          <cell r="N27" t="str">
            <v>$0.00</v>
          </cell>
          <cell r="O27">
            <v>0</v>
          </cell>
          <cell r="P27">
            <v>0</v>
          </cell>
          <cell r="R27">
            <v>0</v>
          </cell>
        </row>
      </sheetData>
      <sheetData sheetId="9"/>
      <sheetData sheetId="10">
        <row r="1">
          <cell r="A1" t="str">
            <v>ASIN</v>
          </cell>
          <cell r="B1" t="str">
            <v>Sal 3-06-22</v>
          </cell>
          <cell r="C1" t="str">
            <v>Sal 3-12-22</v>
          </cell>
          <cell r="D1" t="str">
            <v>Sal 3-19-22</v>
          </cell>
          <cell r="E1" t="str">
            <v>Sal 3-19-22</v>
          </cell>
          <cell r="F1" t="str">
            <v>Sal 4-02-22</v>
          </cell>
          <cell r="G1" t="str">
            <v>Sal 4-09-22</v>
          </cell>
          <cell r="H1" t="str">
            <v>Sal 4-16-22</v>
          </cell>
          <cell r="I1" t="str">
            <v>Sal 4-23-22</v>
          </cell>
          <cell r="J1" t="str">
            <v>Sal 4-30-22</v>
          </cell>
          <cell r="K1" t="str">
            <v>sal 5-07-22</v>
          </cell>
          <cell r="L1" t="str">
            <v>Avr 2 month</v>
          </cell>
          <cell r="M1" t="str">
            <v>correct</v>
          </cell>
          <cell r="N1" t="str">
            <v>STOCK 1 may</v>
          </cell>
          <cell r="O1" t="str">
            <v>STOCK 8 may</v>
          </cell>
        </row>
        <row r="2">
          <cell r="A2" t="str">
            <v>B08KW6J37L</v>
          </cell>
          <cell r="B2">
            <v>0</v>
          </cell>
          <cell r="C2">
            <v>2</v>
          </cell>
          <cell r="D2">
            <v>6</v>
          </cell>
          <cell r="E2">
            <v>5</v>
          </cell>
          <cell r="F2">
            <v>4</v>
          </cell>
          <cell r="G2">
            <v>4</v>
          </cell>
          <cell r="H2">
            <v>19</v>
          </cell>
          <cell r="I2">
            <v>21</v>
          </cell>
          <cell r="J2">
            <v>21</v>
          </cell>
          <cell r="K2">
            <v>32</v>
          </cell>
          <cell r="L2">
            <v>11.4</v>
          </cell>
          <cell r="M2">
            <v>14</v>
          </cell>
          <cell r="N2">
            <v>150</v>
          </cell>
          <cell r="O2">
            <v>37</v>
          </cell>
        </row>
        <row r="3">
          <cell r="A3" t="str">
            <v>B08PFHQPG9</v>
          </cell>
          <cell r="B3">
            <v>126</v>
          </cell>
          <cell r="C3">
            <v>174</v>
          </cell>
          <cell r="D3">
            <v>167</v>
          </cell>
          <cell r="E3">
            <v>167</v>
          </cell>
          <cell r="F3">
            <v>177</v>
          </cell>
          <cell r="G3">
            <v>175</v>
          </cell>
          <cell r="H3">
            <v>172</v>
          </cell>
          <cell r="I3">
            <v>82</v>
          </cell>
          <cell r="J3">
            <v>82</v>
          </cell>
          <cell r="K3">
            <v>160</v>
          </cell>
          <cell r="L3">
            <v>148.19999999999999</v>
          </cell>
          <cell r="M3">
            <v>167</v>
          </cell>
          <cell r="N3">
            <v>3284</v>
          </cell>
          <cell r="O3">
            <v>2869</v>
          </cell>
        </row>
        <row r="4">
          <cell r="A4" t="str">
            <v>B092DVVH9C</v>
          </cell>
          <cell r="B4">
            <v>8</v>
          </cell>
          <cell r="C4">
            <v>22</v>
          </cell>
          <cell r="D4">
            <v>13</v>
          </cell>
          <cell r="E4">
            <v>11</v>
          </cell>
          <cell r="F4">
            <v>15</v>
          </cell>
          <cell r="G4">
            <v>19</v>
          </cell>
          <cell r="H4">
            <v>11</v>
          </cell>
          <cell r="I4">
            <v>58</v>
          </cell>
          <cell r="J4">
            <v>58</v>
          </cell>
          <cell r="K4">
            <v>16</v>
          </cell>
          <cell r="L4">
            <v>23.1</v>
          </cell>
          <cell r="M4">
            <v>32</v>
          </cell>
          <cell r="N4">
            <v>497</v>
          </cell>
          <cell r="O4">
            <v>421</v>
          </cell>
        </row>
        <row r="5">
          <cell r="A5" t="str">
            <v>B092R21Y9Q</v>
          </cell>
          <cell r="B5">
            <v>16</v>
          </cell>
          <cell r="C5">
            <v>30</v>
          </cell>
          <cell r="D5">
            <v>29</v>
          </cell>
          <cell r="E5">
            <v>44</v>
          </cell>
          <cell r="F5">
            <v>41</v>
          </cell>
          <cell r="G5">
            <v>43</v>
          </cell>
          <cell r="H5">
            <v>45</v>
          </cell>
          <cell r="I5">
            <v>6</v>
          </cell>
          <cell r="J5">
            <v>6</v>
          </cell>
          <cell r="K5">
            <v>26</v>
          </cell>
          <cell r="L5">
            <v>28.6</v>
          </cell>
          <cell r="M5">
            <v>30</v>
          </cell>
          <cell r="N5">
            <v>764</v>
          </cell>
          <cell r="O5">
            <v>820</v>
          </cell>
        </row>
        <row r="6">
          <cell r="A6" t="str">
            <v>B092R2KRXD</v>
          </cell>
          <cell r="B6">
            <v>65</v>
          </cell>
          <cell r="C6">
            <v>104</v>
          </cell>
          <cell r="D6">
            <v>86</v>
          </cell>
          <cell r="E6">
            <v>65</v>
          </cell>
          <cell r="F6">
            <v>73</v>
          </cell>
          <cell r="G6">
            <v>96</v>
          </cell>
          <cell r="H6">
            <v>101</v>
          </cell>
          <cell r="I6">
            <v>4</v>
          </cell>
          <cell r="J6">
            <v>4</v>
          </cell>
          <cell r="K6">
            <v>79</v>
          </cell>
          <cell r="L6">
            <v>67.7</v>
          </cell>
          <cell r="M6">
            <v>76</v>
          </cell>
          <cell r="N6">
            <v>984</v>
          </cell>
          <cell r="O6">
            <v>740</v>
          </cell>
        </row>
        <row r="7">
          <cell r="A7" t="str">
            <v>B0936TV62Z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6</v>
          </cell>
          <cell r="G7">
            <v>12</v>
          </cell>
          <cell r="H7">
            <v>4</v>
          </cell>
          <cell r="I7">
            <v>17</v>
          </cell>
          <cell r="J7">
            <v>17</v>
          </cell>
          <cell r="K7">
            <v>3</v>
          </cell>
          <cell r="L7">
            <v>5.9</v>
          </cell>
          <cell r="M7">
            <v>10</v>
          </cell>
          <cell r="N7">
            <v>607</v>
          </cell>
          <cell r="O7">
            <v>942</v>
          </cell>
        </row>
        <row r="8">
          <cell r="A8" t="str">
            <v>B096MRNRVK</v>
          </cell>
          <cell r="B8">
            <v>0</v>
          </cell>
          <cell r="C8">
            <v>1</v>
          </cell>
          <cell r="D8">
            <v>3</v>
          </cell>
          <cell r="E8">
            <v>3</v>
          </cell>
          <cell r="F8">
            <v>8</v>
          </cell>
          <cell r="G8">
            <v>102</v>
          </cell>
          <cell r="H8">
            <v>88</v>
          </cell>
          <cell r="I8">
            <v>14</v>
          </cell>
          <cell r="J8">
            <v>14</v>
          </cell>
          <cell r="K8">
            <v>43</v>
          </cell>
          <cell r="L8">
            <v>27.6</v>
          </cell>
          <cell r="M8">
            <v>37</v>
          </cell>
          <cell r="N8">
            <v>589</v>
          </cell>
          <cell r="O8">
            <v>629</v>
          </cell>
        </row>
        <row r="9">
          <cell r="A9" t="str">
            <v>B096MTGRBF</v>
          </cell>
          <cell r="B9">
            <v>3</v>
          </cell>
          <cell r="C9">
            <v>9</v>
          </cell>
          <cell r="D9">
            <v>8</v>
          </cell>
          <cell r="E9">
            <v>11</v>
          </cell>
          <cell r="F9">
            <v>18</v>
          </cell>
          <cell r="G9">
            <v>18</v>
          </cell>
          <cell r="H9">
            <v>17</v>
          </cell>
          <cell r="I9">
            <v>44</v>
          </cell>
          <cell r="J9">
            <v>44</v>
          </cell>
          <cell r="K9">
            <v>5</v>
          </cell>
          <cell r="L9">
            <v>17.7</v>
          </cell>
          <cell r="M9">
            <v>26</v>
          </cell>
          <cell r="N9">
            <v>349</v>
          </cell>
          <cell r="O9">
            <v>456</v>
          </cell>
        </row>
        <row r="10">
          <cell r="A10" t="str">
            <v>B09F66V4J2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27</v>
          </cell>
          <cell r="J10">
            <v>27</v>
          </cell>
          <cell r="L10">
            <v>5.4</v>
          </cell>
          <cell r="M10">
            <v>11</v>
          </cell>
          <cell r="N10">
            <v>0</v>
          </cell>
        </row>
        <row r="11">
          <cell r="A11" t="str">
            <v>B09GB4KZLW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4</v>
          </cell>
          <cell r="J11">
            <v>4</v>
          </cell>
          <cell r="L11">
            <v>0.8</v>
          </cell>
          <cell r="M11">
            <v>2</v>
          </cell>
          <cell r="N11">
            <v>0</v>
          </cell>
        </row>
        <row r="12">
          <cell r="A12" t="str">
            <v>B09JWBFTYK</v>
          </cell>
          <cell r="B12">
            <v>20</v>
          </cell>
          <cell r="C12">
            <v>38</v>
          </cell>
          <cell r="D12">
            <v>14</v>
          </cell>
          <cell r="E12">
            <v>8</v>
          </cell>
          <cell r="F12">
            <v>20</v>
          </cell>
          <cell r="G12">
            <v>21</v>
          </cell>
          <cell r="H12">
            <v>19</v>
          </cell>
          <cell r="I12">
            <v>19</v>
          </cell>
          <cell r="J12">
            <v>19</v>
          </cell>
          <cell r="K12">
            <v>20</v>
          </cell>
          <cell r="L12">
            <v>19.8</v>
          </cell>
          <cell r="M12">
            <v>20</v>
          </cell>
          <cell r="N12">
            <v>628</v>
          </cell>
          <cell r="O12">
            <v>1197</v>
          </cell>
        </row>
        <row r="13">
          <cell r="A13" t="str">
            <v>B09N7DFKTL</v>
          </cell>
          <cell r="B13">
            <v>0</v>
          </cell>
          <cell r="C13">
            <v>0</v>
          </cell>
          <cell r="D13">
            <v>0</v>
          </cell>
          <cell r="E13">
            <v>3</v>
          </cell>
          <cell r="F13">
            <v>0</v>
          </cell>
          <cell r="G13">
            <v>0</v>
          </cell>
          <cell r="H13">
            <v>0</v>
          </cell>
          <cell r="I13">
            <v>9</v>
          </cell>
          <cell r="J13">
            <v>9</v>
          </cell>
          <cell r="L13">
            <v>2.1</v>
          </cell>
          <cell r="M13">
            <v>4</v>
          </cell>
          <cell r="N13">
            <v>0</v>
          </cell>
        </row>
        <row r="14">
          <cell r="A14" t="str">
            <v>B09N7HQ483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B09N7KBMJ1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B09N7KD8SC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7</v>
          </cell>
          <cell r="J16">
            <v>7</v>
          </cell>
          <cell r="L16">
            <v>1.4</v>
          </cell>
          <cell r="M16">
            <v>3</v>
          </cell>
          <cell r="N16">
            <v>0</v>
          </cell>
        </row>
        <row r="17">
          <cell r="A17" t="str">
            <v>B09N7KD9PC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6</v>
          </cell>
          <cell r="J17">
            <v>6</v>
          </cell>
          <cell r="L17">
            <v>1.2</v>
          </cell>
          <cell r="M17">
            <v>2</v>
          </cell>
          <cell r="N17">
            <v>0</v>
          </cell>
        </row>
        <row r="18">
          <cell r="A18" t="str">
            <v>B09N7LLZSP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B09N7M8927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B09N7N5T17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B09N7NMWP9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7</v>
          </cell>
          <cell r="I21">
            <v>0</v>
          </cell>
          <cell r="J21">
            <v>0</v>
          </cell>
          <cell r="L21">
            <v>0.7</v>
          </cell>
          <cell r="M21">
            <v>1</v>
          </cell>
          <cell r="N21">
            <v>0</v>
          </cell>
        </row>
        <row r="22">
          <cell r="A22" t="str">
            <v>B09PKJCL4H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13</v>
          </cell>
          <cell r="I22">
            <v>0</v>
          </cell>
          <cell r="J22">
            <v>0</v>
          </cell>
          <cell r="K22">
            <v>2</v>
          </cell>
          <cell r="L22">
            <v>1.6</v>
          </cell>
          <cell r="M22">
            <v>2</v>
          </cell>
          <cell r="N22">
            <v>295</v>
          </cell>
          <cell r="O22">
            <v>435</v>
          </cell>
        </row>
        <row r="23">
          <cell r="A23" t="str">
            <v>B09PKK8R7F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15</v>
          </cell>
          <cell r="H23">
            <v>37</v>
          </cell>
          <cell r="I23">
            <v>0</v>
          </cell>
          <cell r="J23">
            <v>0</v>
          </cell>
          <cell r="K23">
            <v>8</v>
          </cell>
          <cell r="L23">
            <v>6</v>
          </cell>
          <cell r="M23">
            <v>8</v>
          </cell>
          <cell r="N23">
            <v>584</v>
          </cell>
          <cell r="O23">
            <v>867</v>
          </cell>
        </row>
        <row r="24">
          <cell r="A24" t="str">
            <v>B09PKKHP3X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29</v>
          </cell>
          <cell r="H24">
            <v>0</v>
          </cell>
          <cell r="I24">
            <v>0</v>
          </cell>
          <cell r="J24">
            <v>0</v>
          </cell>
          <cell r="K24">
            <v>23</v>
          </cell>
          <cell r="L24">
            <v>5.2</v>
          </cell>
          <cell r="M24">
            <v>6</v>
          </cell>
          <cell r="N24">
            <v>287</v>
          </cell>
          <cell r="O24">
            <v>307</v>
          </cell>
        </row>
        <row r="25">
          <cell r="A25" t="str">
            <v>B09T3QRCD8</v>
          </cell>
          <cell r="B25">
            <v>0</v>
          </cell>
          <cell r="C25">
            <v>1</v>
          </cell>
          <cell r="D25">
            <v>0</v>
          </cell>
          <cell r="E25">
            <v>0</v>
          </cell>
          <cell r="F25">
            <v>8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L25">
            <v>0.9</v>
          </cell>
          <cell r="M25">
            <v>1</v>
          </cell>
          <cell r="N25">
            <v>0</v>
          </cell>
        </row>
        <row r="27">
          <cell r="A27">
            <v>1</v>
          </cell>
          <cell r="B27">
            <v>0.05</v>
          </cell>
          <cell r="C27">
            <v>0.05</v>
          </cell>
          <cell r="D27">
            <v>0.05</v>
          </cell>
          <cell r="E27">
            <v>0.05</v>
          </cell>
          <cell r="F27">
            <v>0.05</v>
          </cell>
          <cell r="G27">
            <v>0.15</v>
          </cell>
          <cell r="H27">
            <v>0.15</v>
          </cell>
          <cell r="I27">
            <v>0.15</v>
          </cell>
          <cell r="J27">
            <v>0.25</v>
          </cell>
          <cell r="K27">
            <v>0.05</v>
          </cell>
        </row>
        <row r="32">
          <cell r="N32" t="str">
            <v>возможны небольшие поставки</v>
          </cell>
        </row>
        <row r="33">
          <cell r="N33" t="str">
            <v>поставки не нужны</v>
          </cell>
        </row>
        <row r="34">
          <cell r="N34" t="str">
            <v>оченя плохо товарищи</v>
          </cell>
        </row>
      </sheetData>
      <sheetData sheetId="11"/>
      <sheetData sheetId="12"/>
      <sheetData sheetId="13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Only SKUs" id="{801E091D-8150-491F-B378-AA919ABE645C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Andrew Gree" id="{D012095B-C336-4C23-A6AB-8BCEE16A5338}" userId="Andrew Gree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lan" refreshedDate="44661.835666087965" createdVersion="7" refreshedVersion="6" minRefreshableVersion="3" recordCount="17" xr:uid="{3A199B98-AB0D-4123-BE0B-2ABE2270AEEA}">
  <cacheSource type="worksheet">
    <worksheetSource ref="AU2:AU995" sheet="Master Data"/>
  </cacheSource>
  <cacheFields count="1">
    <cacheField name="PRODUCT_CATEGORY_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F9C3E3-412F-41CD-8364-72D288B81CC3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rowGrandTotals="0" itemPrintTitles="1" createdVersion="7" indent="0" compact="0" compactData="0" multipleFieldFilters="0">
  <location ref="I1:I2" firstHeaderRow="1" firstDataRow="1" firstDataCol="1"/>
  <pivotFields count="1">
    <pivotField axis="axisRow" compact="0" outline="0" showAll="0">
      <items count="2">
        <item x="0"/>
        <item t="default"/>
      </items>
    </pivotField>
  </pivotFields>
  <rowFields count="1">
    <field x="0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5FB943-BA13-49DE-B17E-59649222506F}" name="InputData" displayName="InputData" ref="A2:BB13" headerRowDxfId="70" headerRowCellStyle="Normal 2">
  <autoFilter ref="A2:BB13" xr:uid="{D75FB943-BA13-49DE-B17E-59649222506F}"/>
  <tableColumns count="54">
    <tableColumn id="43" xr3:uid="{AD9B9707-587C-44FB-BCA6-305D97EAA686}" name="SEQUENCE" dataDxfId="69">
      <calculatedColumnFormula>ROW(A3)-2</calculatedColumnFormula>
    </tableColumn>
    <tableColumn id="1" xr3:uid="{77E2A232-8CB7-49DE-AE04-E43B8D7C7D3A}" name="DATE" totalsRowLabel="Total" dataDxfId="16">
      <calculatedColumnFormula>TODAY()</calculatedColumnFormula>
    </tableColumn>
    <tableColumn id="2" xr3:uid="{9F8744F7-241F-4A20-95BD-65EFD6804E50}" name="SKU" dataDxfId="15"/>
    <tableColumn id="22" xr3:uid="{27D18FB3-E2C1-48D6-BF12-3EED69F38453}" name="STATUS" dataDxfId="14" totalsRowDxfId="68">
      <calculatedColumnFormula>VLOOKUP(InputData[[#This Row],[ASIN]],'[1]Master Data'!$A:$AV,5,0)</calculatedColumnFormula>
    </tableColumn>
    <tableColumn id="42" xr3:uid="{47A96140-DBFB-45D8-9E24-31ED7A4A15B3}" name="DESCRIPTION" dataDxfId="13" totalsRowDxfId="67">
      <calculatedColumnFormula>VLOOKUP(InputData[[#This Row],[ASIN]],'[1]Master Data'!$A:$AV,6,0)</calculatedColumnFormula>
    </tableColumn>
    <tableColumn id="3" xr3:uid="{1F06E2C1-FF21-4C3F-9273-ED3E19F8F436}" name="ASIN" dataDxfId="11" totalsRowDxfId="66"/>
    <tableColumn id="4" xr3:uid="{DDCBF42A-A51D-4808-865A-A0CCDE2F3BE8}" name="IN_DELIVERY_UNITS1" dataDxfId="12" totalsRowDxfId="65">
      <calculatedColumnFormula>VLOOKUP(InputData[[#This Row],[ASIN]],'[1]Master Data'!$A:$AV,8,0)</calculatedColumnFormula>
    </tableColumn>
    <tableColumn id="40" xr3:uid="{FC105A92-04B7-4EF3-A22C-9D6992539C49}" name="IN_DELIVERY_SUM1" totalsRowDxfId="64"/>
    <tableColumn id="5" xr3:uid="{397A1240-0607-4305-9600-AF6DD0D1F313}" name="IN_DELIVERY_ETA1" dataDxfId="63"/>
    <tableColumn id="50" xr3:uid="{4FDE27A7-54BB-468B-9698-B57A66A9121A}" name="IN_DELIVERY_UNITS2" dataDxfId="62" totalsRowDxfId="61"/>
    <tableColumn id="41" xr3:uid="{ACF35565-9A18-4BB7-935A-FF016583059F}" name="IN_DELIVERY_SUM2" dataDxfId="60" totalsRowDxfId="59"/>
    <tableColumn id="49" xr3:uid="{051797AF-64A7-41B9-94F0-210082254CDA}" name="IN_DELIVERY_ETA2" dataDxfId="58"/>
    <tableColumn id="51" xr3:uid="{11EA99AB-4CC6-4B01-8F55-1C3EF9219798}" name="IN_DELIVERY_UNITS3" dataDxfId="57" totalsRowDxfId="56"/>
    <tableColumn id="44" xr3:uid="{BBF959A9-43E0-479B-84E4-3C1878A4F516}" name="IN_DELIVERY_SUM3" dataDxfId="55" totalsRowDxfId="54"/>
    <tableColumn id="53" xr3:uid="{CF895DA7-B232-45F5-8FC3-BDB804DB8763}" name="IN_DELIVERY_ETA3" dataDxfId="53"/>
    <tableColumn id="46" xr3:uid="{9CC05E6C-30B1-4DF9-B1D7-1E4A9D5C4B17}" name="MOQ" dataDxfId="52" totalsRowDxfId="51"/>
    <tableColumn id="47" xr3:uid="{9B61881E-A8BD-4E41-BF54-5A994F22F31B}" name="MFG_ADDRESS" totalsRowDxfId="50"/>
    <tableColumn id="6" xr3:uid="{407278EF-5826-4C1B-9D29-4346DBCBF292}" name="UNITS_PER_BOX1">
      <calculatedColumnFormula>VLOOKUP(InputData[[#This Row],[ASIN]],'[1]Master Data'!$A:$AV,16,0)</calculatedColumnFormula>
    </tableColumn>
    <tableColumn id="7" xr3:uid="{67A7103C-AC5E-48C6-89B9-7C4BF99DD872}" name="BOX1_H" dataDxfId="10">
      <calculatedColumnFormula>VLOOKUP(InputData[[#This Row],[ASIN]],'[1]Master Data'!$A:$AV,17,0)</calculatedColumnFormula>
    </tableColumn>
    <tableColumn id="8" xr3:uid="{A1F22A1A-2AC5-411A-AC17-EDCACD2CC2EC}" name="BOX1_W" dataDxfId="9">
      <calculatedColumnFormula>VLOOKUP(InputData[[#This Row],[ASIN]],'[1]Master Data'!$A:$AV,18,0)</calculatedColumnFormula>
    </tableColumn>
    <tableColumn id="9" xr3:uid="{88ED6777-EA13-41A4-8C86-0366F81A889C}" name="BOX1_L" dataDxfId="8">
      <calculatedColumnFormula>VLOOKUP(InputData[[#This Row],[ASIN]],'[1]Master Data'!$A:$AV,19,0)</calculatedColumnFormula>
    </tableColumn>
    <tableColumn id="10" xr3:uid="{91EAE87B-BEF4-440D-9FB1-520A25BB4F8E}" name="BOX1_WEIGHT" dataDxfId="7">
      <calculatedColumnFormula>VLOOKUP(InputData[[#This Row],[ASIN]],'[1]Master Data'!$A:$AV,20,0)</calculatedColumnFormula>
    </tableColumn>
    <tableColumn id="48" xr3:uid="{36BA46B6-CE3F-47CB-B385-17D454C9DDD6}" name="BOXES_PER_PALLET1"/>
    <tableColumn id="11" xr3:uid="{7779E087-8620-43CF-BC30-4E212B985A5F}" name="QTY1_WH1"/>
    <tableColumn id="45" xr3:uid="{7A0946E2-B53E-429B-8E8E-024CEBA16783}" name="ADDRESS1"/>
    <tableColumn id="12" xr3:uid="{6692B9EC-4068-4463-8A45-9CA09C6BE1D5}" name="QTY1_WH2"/>
    <tableColumn id="54" xr3:uid="{D459AEEF-4BD1-4BFC-97F3-94101AC0305D}" name="ADDRESS2"/>
    <tableColumn id="13" xr3:uid="{E36B4238-6358-45FF-9822-AD4170420281}" name="QTY1_WH3"/>
    <tableColumn id="55" xr3:uid="{1B9697EE-E4E4-4A3B-975F-A69E7CB76565}" name="ADDRESS3"/>
    <tableColumn id="14" xr3:uid="{E76A66A0-CADA-4F2B-8578-DEEC8ABDF7F3}" name="UNITS_PER_BOX2"/>
    <tableColumn id="15" xr3:uid="{5E109C35-4AB4-4B89-94F8-1F901ED1FFEA}" name="BOX2_H"/>
    <tableColumn id="16" xr3:uid="{DF66AA5F-8FCE-4CC3-8C1A-59AACB3090F3}" name="BOX2_W"/>
    <tableColumn id="17" xr3:uid="{CDB4CCA6-B015-4EDA-8E49-B66E700B2060}" name="BOX2_L"/>
    <tableColumn id="18" xr3:uid="{AC1852AE-78CF-4734-95B8-9AD1BAD8A891}" name="BOX2_WEIGHT"/>
    <tableColumn id="19" xr3:uid="{927B4661-67F3-4574-8C60-F33BD86E3947}" name="QTY2_WH1"/>
    <tableColumn id="20" xr3:uid="{A09C0D42-ADFD-4B6E-A2F9-4D30F0F2D143}" name="QTY2_WH2"/>
    <tableColumn id="21" xr3:uid="{5181D6DE-4A8D-4604-93F8-67E6D0F88483}" name="QTY2_WH3"/>
    <tableColumn id="23" xr3:uid="{0A9A8896-98CE-4B4E-AE6D-84C5435A31C3}" name="QTY_AMZ" dataDxfId="6" totalsRowDxfId="49" dataCellStyle="Comma 2">
      <calculatedColumnFormula>VLOOKUP(InputData[[#This Row],[ASIN]],'[2]Report-april-math'!$A:$O,15,0)</calculatedColumnFormula>
    </tableColumn>
    <tableColumn id="52" xr3:uid="{A9AE21E2-798E-40BD-8575-1A2937E5A74B}" name="SUM_AMZ" dataDxfId="48" totalsRowDxfId="47" dataCellStyle="Comma 2">
      <calculatedColumnFormula>InputData[[#This Row],[QTY_AMZ]]*InputData[[#This Row],[purchase_price]]*1.02</calculatedColumnFormula>
    </tableColumn>
    <tableColumn id="38" xr3:uid="{E246DE6F-7066-45D2-BFD0-ED34470B7330}" name="STOCK_PROBLEM" dataDxfId="46" totalsRowDxfId="45" dataCellStyle="Comma 2">
      <calculatedColumnFormula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calculatedColumnFormula>
    </tableColumn>
    <tableColumn id="25" xr3:uid="{9416B575-B305-4429-9808-CFC794A775C0}" name="WEEKLY_SALES_1_2_M" totalsRowDxfId="44" dataCellStyle="Normal 2"/>
    <tableColumn id="26" xr3:uid="{747C8E0E-F845-4186-943B-ECE9888766ED}" name="WEEKLY_SALES_3_4_M" totalsRowDxfId="43" dataCellStyle="Normal 2">
      <calculatedColumnFormula>InputData[[#This Row],[WEEKLY_SALES_1_2_M]]</calculatedColumnFormula>
    </tableColumn>
    <tableColumn id="27" xr3:uid="{F862CAE4-F8B0-41FB-AEA2-8C76946E50B9}" name="WEEKLY_SALES_5_6_M" dataDxfId="5" totalsRowDxfId="42" dataCellStyle="Normal 2">
      <calculatedColumnFormula>VLOOKUP(InputData[[#This Row],[ASIN]],'[2]Report-april-math'!$A:$O,13,0)</calculatedColumnFormula>
    </tableColumn>
    <tableColumn id="28" xr3:uid="{95924BF0-F543-4C3E-923A-59959F807AE4}" name="WEEKLY_SALES_7_8_M" dataDxfId="4" totalsRowDxfId="41" dataCellStyle="Normal 2">
      <calculatedColumnFormula>VLOOKUP(InputData[[#This Row],[ASIN]],'[2]Report-april-math'!$A:$O,13,0)</calculatedColumnFormula>
    </tableColumn>
    <tableColumn id="29" xr3:uid="{128D55B7-B27D-4FAD-9F3A-B9A80E28694A}" name="WEEKLY_SALES_9_10_M" dataDxfId="3" totalsRowDxfId="40" dataCellStyle="Normal 2">
      <calculatedColumnFormula>VLOOKUP(InputData[[#This Row],[ASIN]],'[2]Report-april-math'!$A:$O,13,0)</calculatedColumnFormula>
    </tableColumn>
    <tableColumn id="30" xr3:uid="{4119C2F6-01EB-4C4B-8310-6A317790F9FB}" name="WEEKLY_SALES_11_12_M" dataDxfId="2" totalsRowDxfId="39" dataCellStyle="Normal 2">
      <calculatedColumnFormula>VLOOKUP(InputData[[#This Row],[ASIN]],'[2]Report-april-math'!$A:$O,13,0)</calculatedColumnFormula>
    </tableColumn>
    <tableColumn id="31" xr3:uid="{785BF803-DCFF-44EF-9D40-D1E7B0F0DD2B}" name="PRODUCT_CATEGORY_NAME"/>
    <tableColumn id="32" xr3:uid="{C466D693-35BC-4BCB-8BCF-4729CFBE4777}" name="SIZE_CATEGORY"/>
    <tableColumn id="33" xr3:uid="{FB55D5C7-5095-4CF2-8E39-3A545491E8D2}" name="TYP_TIME_WH_FC1" dataDxfId="38" totalsRowDxfId="37" dataCellStyle="Normal 2"/>
    <tableColumn id="56" xr3:uid="{ED5A3989-EC48-41EC-B7C8-F0D8A6D10FF9}" name="TYP_TIME_WH_FC2" dataDxfId="36" totalsRowDxfId="35" dataCellStyle="Normal 2"/>
    <tableColumn id="35" xr3:uid="{2CCD189B-A025-49B5-8CB1-564EABADEA27}" name="MINIMUM_SAFETY_QTY" dataDxfId="34" totalsRowDxfId="33" dataCellStyle="Comma 2"/>
    <tableColumn id="36" xr3:uid="{F45D9C69-7B38-4B9B-9DF8-CD18207DACE3}" name="EXPECTED_COGS" dataDxfId="32"/>
    <tableColumn id="24" xr3:uid="{AE87BD39-A2D9-4189-8EAD-5B5EF8EB267C}" name="recom_retail_price" dataDxfId="1">
      <calculatedColumnFormula>VLOOKUP(InputData[[#This Row],[ASIN]],'[2]BusinessReport-3-12-22'!$B:$R,17,0)</calculatedColumnFormula>
    </tableColumn>
    <tableColumn id="34" xr3:uid="{96C93AF6-920D-4A45-81FA-93257639B877}" name="purchase_price" dataDxfId="0">
      <calculatedColumnFormula>InputData[[#This Row],[recom_retail_price]]*0.7</calculatedColumnFormula>
    </tableColumn>
  </tableColumns>
  <tableStyleInfo name="TableStyleMedium18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2-04-07T20:24:56.95" personId="{D012095B-C336-4C23-A6AB-8BCEE16A5338}" id="{3831C1E9-7CE9-44EF-9DBE-E4C9B9F7A3E7}">
    <text>Can be different from MOQ because manufacturer did not send full MOQ size (partial delivery of full order) - invoice for 10k but paid 5k and sent 5k</text>
  </threadedComment>
  <threadedComment ref="M3" dT="2022-04-07T20:23:07.77" personId="{D012095B-C336-4C23-A6AB-8BCEE16A5338}" id="{59847DA7-B1EB-4FA2-B342-731B0FC9625F}">
    <text>Need to include MOQ-Price</text>
  </threadedComment>
  <threadedComment ref="N4" dT="2022-04-07T20:26:01.66" personId="{D012095B-C336-4C23-A6AB-8BCEE16A5338}" id="{A7E824AA-0FB5-4CA4-BD67-761FB34E72D4}">
    <text>If multiple manufacturers - we may have different terms per every mfg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microsoft.com/office/2019/04/relationships/namedSheetView" Target="../namedSheetViews/namedSheetView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B13"/>
  <sheetViews>
    <sheetView tabSelected="1" workbookViewId="0">
      <pane xSplit="3" topLeftCell="H1" activePane="topRight" state="frozen"/>
      <selection pane="topRight" activeCell="H4" sqref="H4:H13"/>
    </sheetView>
  </sheetViews>
  <sheetFormatPr defaultRowHeight="14.4"/>
  <cols>
    <col min="1" max="1" width="6.44140625" customWidth="1"/>
    <col min="2" max="2" width="10.6640625" bestFit="1" customWidth="1"/>
    <col min="3" max="3" width="21.6640625" customWidth="1"/>
    <col min="4" max="4" width="16.6640625" customWidth="1"/>
    <col min="5" max="5" width="22.5546875" customWidth="1"/>
    <col min="6" max="6" width="12.44140625" bestFit="1" customWidth="1"/>
    <col min="7" max="8" width="21.5546875" customWidth="1"/>
    <col min="9" max="9" width="20.109375" customWidth="1"/>
    <col min="10" max="11" width="22.33203125" hidden="1" customWidth="1"/>
    <col min="12" max="12" width="20.109375" hidden="1" customWidth="1"/>
    <col min="13" max="14" width="22.33203125" hidden="1" customWidth="1"/>
    <col min="15" max="15" width="22.21875" hidden="1" customWidth="1"/>
    <col min="16" max="16" width="20.109375" bestFit="1" customWidth="1"/>
    <col min="17" max="17" width="16.6640625" bestFit="1" customWidth="1"/>
    <col min="18" max="18" width="18.88671875" bestFit="1" customWidth="1"/>
    <col min="19" max="19" width="13.109375" customWidth="1"/>
    <col min="20" max="20" width="13.21875" customWidth="1"/>
    <col min="21" max="21" width="12.44140625" customWidth="1"/>
    <col min="22" max="22" width="16.44140625" bestFit="1" customWidth="1"/>
    <col min="23" max="23" width="21.6640625" bestFit="1" customWidth="1"/>
    <col min="24" max="24" width="13.109375" hidden="1" customWidth="1"/>
    <col min="25" max="25" width="15.88671875" hidden="1" customWidth="1"/>
    <col min="26" max="26" width="12.6640625" hidden="1" customWidth="1"/>
    <col min="27" max="27" width="12.33203125" hidden="1" customWidth="1"/>
    <col min="28" max="28" width="12.6640625" hidden="1" customWidth="1"/>
    <col min="29" max="29" width="13.33203125" hidden="1" customWidth="1"/>
    <col min="30" max="30" width="21.33203125" hidden="1" customWidth="1"/>
    <col min="31" max="31" width="23.5546875" hidden="1" customWidth="1"/>
    <col min="32" max="32" width="16.44140625" hidden="1" customWidth="1"/>
    <col min="33" max="33" width="24.109375" hidden="1" customWidth="1"/>
    <col min="34" max="34" width="24.6640625" hidden="1" customWidth="1"/>
    <col min="35" max="35" width="25.88671875" hidden="1" customWidth="1"/>
    <col min="36" max="36" width="27.6640625" hidden="1" customWidth="1"/>
    <col min="37" max="37" width="20.44140625" hidden="1" customWidth="1"/>
    <col min="38" max="38" width="12" style="6" bestFit="1" customWidth="1"/>
    <col min="39" max="39" width="12" style="6" customWidth="1"/>
    <col min="40" max="40" width="31.21875" style="6" customWidth="1"/>
    <col min="41" max="44" width="23.88671875" bestFit="1" customWidth="1"/>
    <col min="45" max="45" width="24.88671875" bestFit="1" customWidth="1"/>
    <col min="46" max="46" width="25.88671875" bestFit="1" customWidth="1"/>
    <col min="47" max="47" width="29.5546875" bestFit="1" customWidth="1"/>
    <col min="48" max="48" width="17.5546875" bestFit="1" customWidth="1"/>
    <col min="49" max="49" width="19.6640625" bestFit="1" customWidth="1"/>
    <col min="50" max="50" width="20.6640625" bestFit="1" customWidth="1"/>
    <col min="51" max="51" width="25.33203125" bestFit="1" customWidth="1"/>
    <col min="52" max="52" width="18.109375" bestFit="1" customWidth="1"/>
    <col min="53" max="53" width="19" bestFit="1" customWidth="1"/>
    <col min="54" max="54" width="16.109375" bestFit="1" customWidth="1"/>
  </cols>
  <sheetData>
    <row r="1" spans="1:54" ht="15" thickBot="1">
      <c r="AJ1" s="6"/>
      <c r="AL1"/>
      <c r="AM1"/>
      <c r="AN1"/>
    </row>
    <row r="2" spans="1:54" s="8" customFormat="1" ht="15" thickBot="1">
      <c r="A2" s="16" t="s">
        <v>0</v>
      </c>
      <c r="B2" s="12" t="s">
        <v>1</v>
      </c>
      <c r="C2" s="12" t="s">
        <v>2</v>
      </c>
      <c r="D2" s="12" t="s">
        <v>80</v>
      </c>
      <c r="E2" s="12" t="s">
        <v>3</v>
      </c>
      <c r="F2" s="13" t="s">
        <v>4</v>
      </c>
      <c r="G2" s="13" t="s">
        <v>5</v>
      </c>
      <c r="H2" s="13" t="s">
        <v>83</v>
      </c>
      <c r="I2" s="13" t="s">
        <v>6</v>
      </c>
      <c r="J2" s="13" t="s">
        <v>7</v>
      </c>
      <c r="K2" s="13" t="s">
        <v>84</v>
      </c>
      <c r="L2" s="13" t="s">
        <v>8</v>
      </c>
      <c r="M2" s="13" t="s">
        <v>9</v>
      </c>
      <c r="N2" s="13" t="s">
        <v>85</v>
      </c>
      <c r="O2" s="13" t="s">
        <v>10</v>
      </c>
      <c r="P2" s="12" t="s">
        <v>11</v>
      </c>
      <c r="Q2" s="12" t="s">
        <v>12</v>
      </c>
      <c r="R2" s="9" t="s">
        <v>13</v>
      </c>
      <c r="S2" s="10" t="s">
        <v>14</v>
      </c>
      <c r="T2" s="10" t="s">
        <v>15</v>
      </c>
      <c r="U2" s="10" t="s">
        <v>16</v>
      </c>
      <c r="V2" s="10" t="s">
        <v>17</v>
      </c>
      <c r="W2" s="10" t="s">
        <v>18</v>
      </c>
      <c r="X2" s="10" t="s">
        <v>19</v>
      </c>
      <c r="Y2" s="10" t="s">
        <v>20</v>
      </c>
      <c r="Z2" s="10" t="s">
        <v>21</v>
      </c>
      <c r="AA2" s="10" t="s">
        <v>22</v>
      </c>
      <c r="AB2" s="11" t="s">
        <v>23</v>
      </c>
      <c r="AC2" s="10" t="s">
        <v>24</v>
      </c>
      <c r="AD2" s="9" t="s">
        <v>25</v>
      </c>
      <c r="AE2" s="10" t="s">
        <v>26</v>
      </c>
      <c r="AF2" s="10" t="s">
        <v>27</v>
      </c>
      <c r="AG2" s="10" t="s">
        <v>28</v>
      </c>
      <c r="AH2" s="10" t="s">
        <v>29</v>
      </c>
      <c r="AI2" s="10" t="s">
        <v>30</v>
      </c>
      <c r="AJ2" s="10" t="s">
        <v>31</v>
      </c>
      <c r="AK2" s="11" t="s">
        <v>32</v>
      </c>
      <c r="AL2" s="14" t="s">
        <v>33</v>
      </c>
      <c r="AM2" s="14" t="s">
        <v>86</v>
      </c>
      <c r="AN2" s="14" t="s">
        <v>79</v>
      </c>
      <c r="AO2" s="13" t="s">
        <v>34</v>
      </c>
      <c r="AP2" s="13" t="s">
        <v>35</v>
      </c>
      <c r="AQ2" s="13" t="s">
        <v>36</v>
      </c>
      <c r="AR2" s="13" t="s">
        <v>37</v>
      </c>
      <c r="AS2" s="13" t="s">
        <v>38</v>
      </c>
      <c r="AT2" s="13" t="s">
        <v>39</v>
      </c>
      <c r="AU2" s="13" t="s">
        <v>40</v>
      </c>
      <c r="AV2" s="13" t="s">
        <v>41</v>
      </c>
      <c r="AW2" s="15" t="s">
        <v>42</v>
      </c>
      <c r="AX2" s="15" t="s">
        <v>43</v>
      </c>
      <c r="AY2" s="16" t="s">
        <v>44</v>
      </c>
      <c r="AZ2" s="13" t="s">
        <v>45</v>
      </c>
      <c r="BA2" s="29" t="s">
        <v>81</v>
      </c>
      <c r="BB2" s="29" t="s">
        <v>82</v>
      </c>
    </row>
    <row r="3" spans="1:54">
      <c r="A3">
        <f t="shared" ref="A3:A13" si="0">ROW(A3)-2</f>
        <v>1</v>
      </c>
      <c r="B3" s="5">
        <v>32874</v>
      </c>
      <c r="C3" s="33" t="s">
        <v>46</v>
      </c>
      <c r="D3" s="1" t="str">
        <f>VLOOKUP(InputData[[#This Row],[ASIN]],'[1]Master Data'!$A:$AV,5,0)</f>
        <v>End of life</v>
      </c>
      <c r="E3" s="1" t="str">
        <f>VLOOKUP(InputData[[#This Row],[ASIN]],'[1]Master Data'!$A:$AV,6,0)</f>
        <v>Bar set. Sale of the rest of the batch. No repeat shipments.</v>
      </c>
      <c r="F3" s="34" t="s">
        <v>47</v>
      </c>
      <c r="I3" s="5"/>
      <c r="J3" s="22"/>
      <c r="K3" s="30"/>
      <c r="L3" s="23"/>
      <c r="M3" s="22"/>
      <c r="N3" s="30"/>
      <c r="O3" s="23"/>
      <c r="P3" s="19">
        <v>1000</v>
      </c>
      <c r="Q3" t="s">
        <v>48</v>
      </c>
      <c r="R3">
        <f>VLOOKUP(InputData[[#This Row],[ASIN]],'[1]Master Data'!$A:$AV,16,0)</f>
        <v>4</v>
      </c>
      <c r="S3" s="21">
        <f>VLOOKUP(InputData[[#This Row],[ASIN]],'[1]Master Data'!$A:$AV,17,0)</f>
        <v>21.5</v>
      </c>
      <c r="T3" s="21">
        <f>VLOOKUP(InputData[[#This Row],[ASIN]],'[1]Master Data'!$A:$AV,18,0)</f>
        <v>15.7</v>
      </c>
      <c r="U3" s="21">
        <f>VLOOKUP(InputData[[#This Row],[ASIN]],'[1]Master Data'!$A:$AV,19,0)</f>
        <v>10</v>
      </c>
      <c r="V3" s="20">
        <f>VLOOKUP(InputData[[#This Row],[ASIN]],'[1]Master Data'!$A:$AV,20,0)</f>
        <v>33.07</v>
      </c>
      <c r="X3">
        <v>-1</v>
      </c>
      <c r="Y3" t="s">
        <v>49</v>
      </c>
      <c r="AL3" s="3">
        <f>VLOOKUP(InputData[[#This Row],[ASIN]],'[2]Report-april-math'!$A:$O,15,0)</f>
        <v>37</v>
      </c>
      <c r="AM3" s="3">
        <f>InputData[[#This Row],[QTY_AMZ]]*InputData[[#This Row],[purchase_price]]*1.02</f>
        <v>1229.8899899999997</v>
      </c>
      <c r="AN3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3" s="4">
        <v>28</v>
      </c>
      <c r="AP3" s="4">
        <f>InputData[[#This Row],[WEEKLY_SALES_1_2_M]]</f>
        <v>28</v>
      </c>
      <c r="AQ3" s="4">
        <f>VLOOKUP(InputData[[#This Row],[ASIN]],'[2]Report-april-math'!$A:$O,13,0)</f>
        <v>14</v>
      </c>
      <c r="AR3" s="4">
        <f>VLOOKUP(InputData[[#This Row],[ASIN]],'[2]Report-april-math'!$A:$O,13,0)</f>
        <v>14</v>
      </c>
      <c r="AS3" s="4">
        <f>VLOOKUP(InputData[[#This Row],[ASIN]],'[2]Report-april-math'!$A:$O,13,0)</f>
        <v>14</v>
      </c>
      <c r="AT3" s="4">
        <f>VLOOKUP(InputData[[#This Row],[ASIN]],'[2]Report-april-math'!$A:$O,13,0)</f>
        <v>14</v>
      </c>
      <c r="AV3" t="s">
        <v>50</v>
      </c>
      <c r="AW3" s="7">
        <v>7</v>
      </c>
      <c r="AX3" s="7"/>
      <c r="AY3" s="3">
        <v>0</v>
      </c>
      <c r="AZ3" s="17"/>
      <c r="BA3">
        <f>VLOOKUP(InputData[[#This Row],[ASIN]],'[2]BusinessReport-3-12-22'!$B:$R,17,0)</f>
        <v>46.555</v>
      </c>
      <c r="BB3">
        <f>InputData[[#This Row],[recom_retail_price]]*0.7</f>
        <v>32.588499999999996</v>
      </c>
    </row>
    <row r="4" spans="1:54">
      <c r="A4">
        <f t="shared" si="0"/>
        <v>2</v>
      </c>
      <c r="B4" s="5">
        <f ca="1">TODAY()</f>
        <v>44694</v>
      </c>
      <c r="C4" s="33" t="s">
        <v>53</v>
      </c>
      <c r="D4" t="str">
        <f>VLOOKUP(InputData[[#This Row],[ASIN]],'[1]Master Data'!$A:$AV,5,0)</f>
        <v>Mature</v>
      </c>
      <c r="E4" t="str">
        <f>VLOOKUP(InputData[[#This Row],[ASIN]],'[1]Master Data'!$A:$AV,6,0)</f>
        <v>Clear Ice 2 Balls Maker</v>
      </c>
      <c r="F4" s="34" t="s">
        <v>54</v>
      </c>
      <c r="G4">
        <f>VLOOKUP(InputData[[#This Row],[ASIN]],'[1]Master Data'!$A:$AV,8,0)</f>
        <v>612</v>
      </c>
      <c r="H4">
        <f>InputData[[#This Row],[IN_DELIVERY_UNITS1]]*InputData[[#This Row],[purchase_price]]</f>
        <v>22491.738620689648</v>
      </c>
      <c r="I4" s="5">
        <f>VLOOKUP(InputData[[#This Row],[ASIN]],'[1]Master Data'!$A:$AV,9,0)</f>
        <v>44699</v>
      </c>
      <c r="J4" s="24"/>
      <c r="K4" s="31"/>
      <c r="L4" s="25"/>
      <c r="M4" s="24"/>
      <c r="N4" s="31"/>
      <c r="O4" s="25"/>
      <c r="P4" s="19">
        <v>500</v>
      </c>
      <c r="Q4" t="s">
        <v>48</v>
      </c>
      <c r="R4">
        <f>VLOOKUP(InputData[[#This Row],[ASIN]],'[1]Master Data'!$A:$AV,16,0)</f>
        <v>12</v>
      </c>
      <c r="S4" s="21">
        <f>VLOOKUP(InputData[[#This Row],[ASIN]],'[1]Master Data'!$A:$AV,17,0)</f>
        <v>16.899999999999999</v>
      </c>
      <c r="T4" s="21">
        <f>VLOOKUP(InputData[[#This Row],[ASIN]],'[1]Master Data'!$A:$AV,18,0)</f>
        <v>16.899999999999999</v>
      </c>
      <c r="U4" s="21">
        <f>VLOOKUP(InputData[[#This Row],[ASIN]],'[1]Master Data'!$A:$AV,19,0)</f>
        <v>18.899999999999999</v>
      </c>
      <c r="V4" s="20">
        <f>VLOOKUP(InputData[[#This Row],[ASIN]],'[1]Master Data'!$A:$AV,20,0)</f>
        <v>34.17</v>
      </c>
      <c r="X4">
        <v>-1</v>
      </c>
      <c r="Y4" t="s">
        <v>49</v>
      </c>
      <c r="AL4" s="3">
        <f>VLOOKUP(InputData[[#This Row],[ASIN]],'[2]Report-april-math'!$A:$O,15,0)</f>
        <v>2869</v>
      </c>
      <c r="AM4" s="3">
        <f>InputData[[#This Row],[QTY_AMZ]]*InputData[[#This Row],[purchase_price]]*1.02</f>
        <v>107547.996837931</v>
      </c>
      <c r="AN4" s="2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4" s="4">
        <v>147</v>
      </c>
      <c r="AP4" s="4">
        <f>InputData[[#This Row],[WEEKLY_SALES_1_2_M]]</f>
        <v>147</v>
      </c>
      <c r="AQ4" s="4">
        <f>VLOOKUP(InputData[[#This Row],[ASIN]],'[2]Report-april-math'!$A:$O,13,0)</f>
        <v>167</v>
      </c>
      <c r="AR4" s="4">
        <f>VLOOKUP(InputData[[#This Row],[ASIN]],'[2]Report-april-math'!$A:$O,13,0)</f>
        <v>167</v>
      </c>
      <c r="AS4" s="4">
        <f>VLOOKUP(InputData[[#This Row],[ASIN]],'[2]Report-april-math'!$A:$O,13,0)</f>
        <v>167</v>
      </c>
      <c r="AT4" s="4">
        <f>VLOOKUP(InputData[[#This Row],[ASIN]],'[2]Report-april-math'!$A:$O,13,0)</f>
        <v>167</v>
      </c>
      <c r="AV4" t="s">
        <v>50</v>
      </c>
      <c r="AW4" s="7">
        <v>7</v>
      </c>
      <c r="AX4" s="7"/>
      <c r="AY4" s="3">
        <v>0</v>
      </c>
      <c r="AZ4" s="17"/>
      <c r="BA4">
        <f>VLOOKUP(InputData[[#This Row],[ASIN]],'[2]BusinessReport-3-12-22'!$B:$R,17,0)</f>
        <v>52.501724137931028</v>
      </c>
      <c r="BB4">
        <f>InputData[[#This Row],[recom_retail_price]]*0.7</f>
        <v>36.751206896551714</v>
      </c>
    </row>
    <row r="5" spans="1:54">
      <c r="A5">
        <f t="shared" si="0"/>
        <v>3</v>
      </c>
      <c r="B5" s="5">
        <v>32876</v>
      </c>
      <c r="C5" s="33" t="s">
        <v>51</v>
      </c>
      <c r="D5" s="1" t="str">
        <f>VLOOKUP(InputData[[#This Row],[ASIN]],'[1]Master Data'!$A:$AV,5,0)</f>
        <v>Mature</v>
      </c>
      <c r="E5" s="1" t="str">
        <f>VLOOKUP(InputData[[#This Row],[ASIN]],'[1]Master Data'!$A:$AV,6,0)</f>
        <v>Clear Ice 1 Ball Maker</v>
      </c>
      <c r="F5" s="34" t="s">
        <v>52</v>
      </c>
      <c r="G5">
        <f>VLOOKUP(InputData[[#This Row],[ASIN]],'[1]Master Data'!$A:$AV,8,0)</f>
        <v>1000</v>
      </c>
      <c r="H5">
        <f>InputData[[#This Row],[IN_DELIVERY_UNITS1]]*InputData[[#This Row],[purchase_price]]</f>
        <v>18040</v>
      </c>
      <c r="I5" s="5">
        <f>VLOOKUP(InputData[[#This Row],[ASIN]],'[1]Master Data'!$A:$AV,9,0)</f>
        <v>44715</v>
      </c>
      <c r="J5" s="24"/>
      <c r="K5" s="31"/>
      <c r="L5" s="25"/>
      <c r="M5" s="24"/>
      <c r="N5" s="31"/>
      <c r="O5" s="25"/>
      <c r="P5" s="19">
        <v>500</v>
      </c>
      <c r="Q5" t="s">
        <v>48</v>
      </c>
      <c r="R5">
        <f>VLOOKUP(InputData[[#This Row],[ASIN]],'[1]Master Data'!$A:$AV,16,0)</f>
        <v>20</v>
      </c>
      <c r="S5" s="21">
        <f>VLOOKUP(InputData[[#This Row],[ASIN]],'[1]Master Data'!$A:$AV,17,0)</f>
        <v>17.7</v>
      </c>
      <c r="T5" s="21">
        <f>VLOOKUP(InputData[[#This Row],[ASIN]],'[1]Master Data'!$A:$AV,18,0)</f>
        <v>16.100000000000001</v>
      </c>
      <c r="U5" s="21">
        <f>VLOOKUP(InputData[[#This Row],[ASIN]],'[1]Master Data'!$A:$AV,19,0)</f>
        <v>14.2</v>
      </c>
      <c r="V5" s="20">
        <f>VLOOKUP(InputData[[#This Row],[ASIN]],'[1]Master Data'!$A:$AV,20,0)</f>
        <v>27.56</v>
      </c>
      <c r="X5">
        <v>-1</v>
      </c>
      <c r="Y5" t="s">
        <v>49</v>
      </c>
      <c r="AL5" s="3">
        <f>VLOOKUP(InputData[[#This Row],[ASIN]],'[2]Report-april-math'!$A:$O,15,0)</f>
        <v>421</v>
      </c>
      <c r="AM5" s="3">
        <f>InputData[[#This Row],[QTY_AMZ]]*InputData[[#This Row],[purchase_price]]*1.02</f>
        <v>7746.7367999999997</v>
      </c>
      <c r="AN5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5" s="4">
        <v>82</v>
      </c>
      <c r="AP5" s="4">
        <f>InputData[[#This Row],[WEEKLY_SALES_1_2_M]]</f>
        <v>82</v>
      </c>
      <c r="AQ5" s="4">
        <f>VLOOKUP(InputData[[#This Row],[ASIN]],'[2]Report-april-math'!$A:$O,13,0)</f>
        <v>32</v>
      </c>
      <c r="AR5" s="4">
        <f>VLOOKUP(InputData[[#This Row],[ASIN]],'[2]Report-april-math'!$A:$O,13,0)</f>
        <v>32</v>
      </c>
      <c r="AS5" s="4">
        <f>VLOOKUP(InputData[[#This Row],[ASIN]],'[2]Report-april-math'!$A:$O,13,0)</f>
        <v>32</v>
      </c>
      <c r="AT5" s="4">
        <f>VLOOKUP(InputData[[#This Row],[ASIN]],'[2]Report-april-math'!$A:$O,13,0)</f>
        <v>32</v>
      </c>
      <c r="AV5" t="s">
        <v>50</v>
      </c>
      <c r="AW5" s="7">
        <v>7</v>
      </c>
      <c r="AX5" s="7"/>
      <c r="AY5" s="3">
        <v>0</v>
      </c>
      <c r="AZ5" s="17"/>
      <c r="BA5">
        <f>VLOOKUP(InputData[[#This Row],[ASIN]],'[2]BusinessReport-3-12-22'!$B:$R,17,0)</f>
        <v>25.771428571428572</v>
      </c>
      <c r="BB5">
        <f>InputData[[#This Row],[recom_retail_price]]*0.7</f>
        <v>18.04</v>
      </c>
    </row>
    <row r="6" spans="1:54">
      <c r="A6">
        <f t="shared" si="0"/>
        <v>4</v>
      </c>
      <c r="B6" s="5">
        <v>32877</v>
      </c>
      <c r="C6" s="33" t="s">
        <v>57</v>
      </c>
      <c r="D6" s="1" t="str">
        <f>VLOOKUP(InputData[[#This Row],[ASIN]],'[1]Master Data'!$A:$AV,5,0)</f>
        <v>Mature</v>
      </c>
      <c r="E6" s="1" t="str">
        <f>VLOOKUP(InputData[[#This Row],[ASIN]],'[1]Master Data'!$A:$AV,6,0)</f>
        <v>Clear Ice 2 Cubes Maker</v>
      </c>
      <c r="F6" s="35" t="s">
        <v>58</v>
      </c>
      <c r="G6">
        <f>VLOOKUP(InputData[[#This Row],[ASIN]],'[1]Master Data'!$A:$AV,8,0)</f>
        <v>312</v>
      </c>
      <c r="H6">
        <f>InputData[[#This Row],[IN_DELIVERY_UNITS1]]*InputData[[#This Row],[purchase_price]]</f>
        <v>11264.635199999999</v>
      </c>
      <c r="I6" s="5">
        <f>VLOOKUP(InputData[[#This Row],[ASIN]],'[1]Master Data'!$A:$AV,9,0)</f>
        <v>44699</v>
      </c>
      <c r="J6" s="26"/>
      <c r="K6" s="32"/>
      <c r="L6" s="27"/>
      <c r="M6" s="26"/>
      <c r="N6" s="32"/>
      <c r="O6" s="27"/>
      <c r="P6" s="19">
        <v>500</v>
      </c>
      <c r="Q6" t="s">
        <v>48</v>
      </c>
      <c r="R6">
        <f>VLOOKUP(InputData[[#This Row],[ASIN]],'[1]Master Data'!$A:$AV,16,0)</f>
        <v>12</v>
      </c>
      <c r="S6" s="21">
        <f>VLOOKUP(InputData[[#This Row],[ASIN]],'[1]Master Data'!$A:$AV,17,0)</f>
        <v>16.899999999999999</v>
      </c>
      <c r="T6" s="21">
        <f>VLOOKUP(InputData[[#This Row],[ASIN]],'[1]Master Data'!$A:$AV,18,0)</f>
        <v>16.899999999999999</v>
      </c>
      <c r="U6" s="21">
        <f>VLOOKUP(InputData[[#This Row],[ASIN]],'[1]Master Data'!$A:$AV,19,0)</f>
        <v>18.899999999999999</v>
      </c>
      <c r="V6" s="20">
        <f>VLOOKUP(InputData[[#This Row],[ASIN]],'[1]Master Data'!$A:$AV,20,0)</f>
        <v>34.17</v>
      </c>
      <c r="X6">
        <v>-1</v>
      </c>
      <c r="Y6" t="s">
        <v>49</v>
      </c>
      <c r="AL6" s="3">
        <f>VLOOKUP(InputData[[#This Row],[ASIN]],'[2]Report-april-math'!$A:$O,15,0)</f>
        <v>820</v>
      </c>
      <c r="AM6" s="3">
        <f>InputData[[#This Row],[QTY_AMZ]]*InputData[[#This Row],[purchase_price]]*1.02</f>
        <v>30197.887439999999</v>
      </c>
      <c r="AN6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6" s="4">
        <v>796</v>
      </c>
      <c r="AP6" s="4">
        <f>InputData[[#This Row],[WEEKLY_SALES_1_2_M]]</f>
        <v>796</v>
      </c>
      <c r="AQ6" s="4">
        <f>VLOOKUP(InputData[[#This Row],[ASIN]],'[2]Report-april-math'!$A:$O,13,0)</f>
        <v>30</v>
      </c>
      <c r="AR6" s="4">
        <f>VLOOKUP(InputData[[#This Row],[ASIN]],'[2]Report-april-math'!$A:$O,13,0)</f>
        <v>30</v>
      </c>
      <c r="AS6" s="4">
        <f>VLOOKUP(InputData[[#This Row],[ASIN]],'[2]Report-april-math'!$A:$O,13,0)</f>
        <v>30</v>
      </c>
      <c r="AT6" s="4">
        <f>VLOOKUP(InputData[[#This Row],[ASIN]],'[2]Report-april-math'!$A:$O,13,0)</f>
        <v>30</v>
      </c>
      <c r="AV6" t="s">
        <v>50</v>
      </c>
      <c r="AW6" s="7">
        <v>7</v>
      </c>
      <c r="AX6" s="7"/>
      <c r="AY6" s="3">
        <v>0</v>
      </c>
      <c r="AZ6" s="17"/>
      <c r="BA6">
        <f>VLOOKUP(InputData[[#This Row],[ASIN]],'[2]BusinessReport-3-12-22'!$B:$R,17,0)</f>
        <v>51.577999999999996</v>
      </c>
      <c r="BB6">
        <f>InputData[[#This Row],[recom_retail_price]]*0.7</f>
        <v>36.104599999999998</v>
      </c>
    </row>
    <row r="7" spans="1:54">
      <c r="A7">
        <f t="shared" si="0"/>
        <v>5</v>
      </c>
      <c r="B7" s="5">
        <v>32878</v>
      </c>
      <c r="C7" s="33" t="s">
        <v>55</v>
      </c>
      <c r="D7" s="1" t="str">
        <f>VLOOKUP(InputData[[#This Row],[ASIN]],'[1]Master Data'!$A:$AV,5,0)</f>
        <v>Mature</v>
      </c>
      <c r="E7" s="1" t="str">
        <f>VLOOKUP(InputData[[#This Row],[ASIN]],'[1]Master Data'!$A:$AV,6,0)</f>
        <v>Clear Ice 4 Balls Maker</v>
      </c>
      <c r="F7" s="34" t="s">
        <v>56</v>
      </c>
      <c r="G7">
        <f>VLOOKUP(InputData[[#This Row],[ASIN]],'[1]Master Data'!$A:$AV,8,0)</f>
        <v>352</v>
      </c>
      <c r="H7">
        <f>InputData[[#This Row],[IN_DELIVERY_UNITS1]]*InputData[[#This Row],[purchase_price]]</f>
        <v>18695.371851851851</v>
      </c>
      <c r="I7" s="5">
        <f>VLOOKUP(InputData[[#This Row],[ASIN]],'[1]Master Data'!$A:$AV,9,0)</f>
        <v>44699</v>
      </c>
      <c r="J7" s="24"/>
      <c r="K7" s="31"/>
      <c r="L7" s="25"/>
      <c r="M7" s="24"/>
      <c r="N7" s="31"/>
      <c r="O7" s="25"/>
      <c r="P7" s="19">
        <v>500</v>
      </c>
      <c r="Q7" t="s">
        <v>48</v>
      </c>
      <c r="R7">
        <f>VLOOKUP(InputData[[#This Row],[ASIN]],'[1]Master Data'!$A:$AV,16,0)</f>
        <v>8</v>
      </c>
      <c r="S7" s="21">
        <f>VLOOKUP(InputData[[#This Row],[ASIN]],'[1]Master Data'!$A:$AV,17,0)</f>
        <v>13.9</v>
      </c>
      <c r="T7" s="21">
        <f>VLOOKUP(InputData[[#This Row],[ASIN]],'[1]Master Data'!$A:$AV,18,0)</f>
        <v>15.8</v>
      </c>
      <c r="U7" s="21">
        <f>VLOOKUP(InputData[[#This Row],[ASIN]],'[1]Master Data'!$A:$AV,19,0)</f>
        <v>16.899999999999999</v>
      </c>
      <c r="V7" s="20">
        <f>VLOOKUP(InputData[[#This Row],[ASIN]],'[1]Master Data'!$A:$AV,20,0)</f>
        <v>36.6</v>
      </c>
      <c r="X7">
        <v>-1</v>
      </c>
      <c r="Y7" t="s">
        <v>49</v>
      </c>
      <c r="AL7" s="3">
        <f>VLOOKUP(InputData[[#This Row],[ASIN]],'[2]Report-april-math'!$A:$O,15,0)</f>
        <v>740</v>
      </c>
      <c r="AM7" s="3">
        <f>InputData[[#This Row],[QTY_AMZ]]*InputData[[#This Row],[purchase_price]]*1.02</f>
        <v>40088.825777777776</v>
      </c>
      <c r="AN7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7" s="4">
        <v>477</v>
      </c>
      <c r="AP7" s="4">
        <f>InputData[[#This Row],[WEEKLY_SALES_1_2_M]]</f>
        <v>477</v>
      </c>
      <c r="AQ7" s="4">
        <f>VLOOKUP(InputData[[#This Row],[ASIN]],'[2]Report-april-math'!$A:$O,13,0)</f>
        <v>76</v>
      </c>
      <c r="AR7" s="4">
        <f>VLOOKUP(InputData[[#This Row],[ASIN]],'[2]Report-april-math'!$A:$O,13,0)</f>
        <v>76</v>
      </c>
      <c r="AS7" s="4">
        <f>VLOOKUP(InputData[[#This Row],[ASIN]],'[2]Report-april-math'!$A:$O,13,0)</f>
        <v>76</v>
      </c>
      <c r="AT7" s="4">
        <f>VLOOKUP(InputData[[#This Row],[ASIN]],'[2]Report-april-math'!$A:$O,13,0)</f>
        <v>76</v>
      </c>
      <c r="AV7" t="s">
        <v>50</v>
      </c>
      <c r="AW7" s="7">
        <v>7</v>
      </c>
      <c r="AX7" s="7"/>
      <c r="AY7" s="3">
        <v>0</v>
      </c>
      <c r="AZ7" s="17"/>
      <c r="BA7">
        <f>VLOOKUP(InputData[[#This Row],[ASIN]],'[2]BusinessReport-3-12-22'!$B:$R,17,0)</f>
        <v>75.874074074074073</v>
      </c>
      <c r="BB7">
        <f>InputData[[#This Row],[recom_retail_price]]*0.7</f>
        <v>53.111851851851846</v>
      </c>
    </row>
    <row r="8" spans="1:54">
      <c r="A8">
        <f t="shared" si="0"/>
        <v>6</v>
      </c>
      <c r="B8" s="5">
        <v>32879</v>
      </c>
      <c r="C8" s="33" t="s">
        <v>61</v>
      </c>
      <c r="D8" s="1" t="str">
        <f>VLOOKUP(InputData[[#This Row],[ASIN]],'[1]Master Data'!$A:$AV,5,0)</f>
        <v>Mature</v>
      </c>
      <c r="E8" s="1" t="str">
        <f>VLOOKUP(InputData[[#This Row],[ASIN]],'[1]Master Data'!$A:$AV,6,0)</f>
        <v>Whiskey Glasses Set of 2</v>
      </c>
      <c r="F8" s="34" t="s">
        <v>62</v>
      </c>
      <c r="G8">
        <f>VLOOKUP(InputData[[#This Row],[ASIN]],'[1]Master Data'!$A:$AV,8,0)</f>
        <v>408</v>
      </c>
      <c r="H8">
        <f>InputData[[#This Row],[IN_DELIVERY_UNITS1]]*InputData[[#This Row],[purchase_price]]</f>
        <v>5697.7199999999993</v>
      </c>
      <c r="I8" s="5">
        <f>VLOOKUP(InputData[[#This Row],[ASIN]],'[1]Master Data'!$A:$AV,9,0)</f>
        <v>44699</v>
      </c>
      <c r="J8" s="24"/>
      <c r="K8" s="31"/>
      <c r="L8" s="25"/>
      <c r="M8" s="24"/>
      <c r="N8" s="31"/>
      <c r="O8" s="25"/>
      <c r="P8" s="19">
        <v>500</v>
      </c>
      <c r="Q8" t="s">
        <v>48</v>
      </c>
      <c r="R8">
        <f>VLOOKUP(InputData[[#This Row],[ASIN]],'[1]Master Data'!$A:$AV,16,0)</f>
        <v>12</v>
      </c>
      <c r="S8" s="21">
        <f>VLOOKUP(InputData[[#This Row],[ASIN]],'[1]Master Data'!$A:$AV,17,0)</f>
        <v>20.100000000000001</v>
      </c>
      <c r="T8" s="21">
        <f>VLOOKUP(InputData[[#This Row],[ASIN]],'[1]Master Data'!$A:$AV,18,0)</f>
        <v>16.7</v>
      </c>
      <c r="U8" s="21">
        <f>VLOOKUP(InputData[[#This Row],[ASIN]],'[1]Master Data'!$A:$AV,19,0)</f>
        <v>20.5</v>
      </c>
      <c r="V8" s="20">
        <f>VLOOKUP(InputData[[#This Row],[ASIN]],'[1]Master Data'!$A:$AV,20,0)</f>
        <v>41.89</v>
      </c>
      <c r="X8">
        <v>-1</v>
      </c>
      <c r="Y8" t="s">
        <v>49</v>
      </c>
      <c r="AL8" s="3">
        <f>VLOOKUP(InputData[[#This Row],[ASIN]],'[2]Report-april-math'!$A:$O,15,0)</f>
        <v>942</v>
      </c>
      <c r="AM8" s="3">
        <f>InputData[[#This Row],[QTY_AMZ]]*InputData[[#This Row],[purchase_price]]*1.02</f>
        <v>13418.130599999999</v>
      </c>
      <c r="AN8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8" s="4">
        <v>191</v>
      </c>
      <c r="AP8" s="4">
        <f>InputData[[#This Row],[WEEKLY_SALES_1_2_M]]</f>
        <v>191</v>
      </c>
      <c r="AQ8" s="4">
        <f>VLOOKUP(InputData[[#This Row],[ASIN]],'[2]Report-april-math'!$A:$O,13,0)</f>
        <v>10</v>
      </c>
      <c r="AR8" s="4">
        <f>VLOOKUP(InputData[[#This Row],[ASIN]],'[2]Report-april-math'!$A:$O,13,0)</f>
        <v>10</v>
      </c>
      <c r="AS8" s="4">
        <f>VLOOKUP(InputData[[#This Row],[ASIN]],'[2]Report-april-math'!$A:$O,13,0)</f>
        <v>10</v>
      </c>
      <c r="AT8" s="4">
        <f>VLOOKUP(InputData[[#This Row],[ASIN]],'[2]Report-april-math'!$A:$O,13,0)</f>
        <v>10</v>
      </c>
      <c r="AV8" t="s">
        <v>50</v>
      </c>
      <c r="AW8" s="7">
        <v>7</v>
      </c>
      <c r="AX8" s="7"/>
      <c r="AY8" s="3">
        <v>0</v>
      </c>
      <c r="AZ8" s="17"/>
      <c r="BA8">
        <v>19.95</v>
      </c>
      <c r="BB8">
        <f>InputData[[#This Row],[recom_retail_price]]*0.7</f>
        <v>13.964999999999998</v>
      </c>
    </row>
    <row r="9" spans="1:54">
      <c r="A9">
        <f t="shared" si="0"/>
        <v>7</v>
      </c>
      <c r="B9" s="5">
        <v>32880</v>
      </c>
      <c r="C9" s="33" t="s">
        <v>59</v>
      </c>
      <c r="D9" s="1" t="str">
        <f>VLOOKUP(InputData[[#This Row],[ASIN]],'[1]Master Data'!$A:$AV,5,0)</f>
        <v>Mature</v>
      </c>
      <c r="E9" s="1" t="str">
        <f>VLOOKUP(InputData[[#This Row],[ASIN]],'[1]Master Data'!$A:$AV,6,0)</f>
        <v>Whiskey Glasses Set of 2</v>
      </c>
      <c r="F9" s="34" t="s">
        <v>60</v>
      </c>
      <c r="G9">
        <f>VLOOKUP(InputData[[#This Row],[ASIN]],'[1]Master Data'!$A:$AV,8,0)</f>
        <v>408</v>
      </c>
      <c r="H9">
        <f>InputData[[#This Row],[IN_DELIVERY_UNITS1]]*InputData[[#This Row],[purchase_price]]</f>
        <v>5697.7199999999993</v>
      </c>
      <c r="I9" s="5">
        <f>VLOOKUP(InputData[[#This Row],[ASIN]],'[1]Master Data'!$A:$AV,9,0)</f>
        <v>44699</v>
      </c>
      <c r="J9" s="24"/>
      <c r="K9" s="31"/>
      <c r="L9" s="25"/>
      <c r="M9" s="24"/>
      <c r="N9" s="31"/>
      <c r="O9" s="25"/>
      <c r="P9" s="19">
        <v>500</v>
      </c>
      <c r="Q9" t="s">
        <v>48</v>
      </c>
      <c r="R9">
        <f>VLOOKUP(InputData[[#This Row],[ASIN]],'[1]Master Data'!$A:$AV,16,0)</f>
        <v>24</v>
      </c>
      <c r="S9" s="21">
        <f>VLOOKUP(InputData[[#This Row],[ASIN]],'[1]Master Data'!$A:$AV,17,0)</f>
        <v>18.100000000000001</v>
      </c>
      <c r="T9" s="21">
        <f>VLOOKUP(InputData[[#This Row],[ASIN]],'[1]Master Data'!$A:$AV,18,0)</f>
        <v>15</v>
      </c>
      <c r="U9" s="21">
        <f>VLOOKUP(InputData[[#This Row],[ASIN]],'[1]Master Data'!$A:$AV,19,0)</f>
        <v>20.5</v>
      </c>
      <c r="V9" s="20">
        <f>VLOOKUP(InputData[[#This Row],[ASIN]],'[1]Master Data'!$A:$AV,20,0)</f>
        <v>37.479999999999997</v>
      </c>
      <c r="X9">
        <v>-1</v>
      </c>
      <c r="Y9" t="s">
        <v>49</v>
      </c>
      <c r="AL9" s="3">
        <f>VLOOKUP(InputData[[#This Row],[ASIN]],'[2]Report-april-math'!$A:$O,15,0)</f>
        <v>629</v>
      </c>
      <c r="AM9" s="3">
        <f>InputData[[#This Row],[QTY_AMZ]]*InputData[[#This Row],[purchase_price]]*1.02</f>
        <v>8959.6646999999994</v>
      </c>
      <c r="AN9" s="2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>NoSales</v>
      </c>
      <c r="AO9" s="4"/>
      <c r="AP9" s="4">
        <f>InputData[[#This Row],[WEEKLY_SALES_1_2_M]]</f>
        <v>0</v>
      </c>
      <c r="AQ9" s="4">
        <f>VLOOKUP(InputData[[#This Row],[ASIN]],'[2]Report-april-math'!$A:$O,13,0)</f>
        <v>37</v>
      </c>
      <c r="AR9" s="4">
        <f>VLOOKUP(InputData[[#This Row],[ASIN]],'[2]Report-april-math'!$A:$O,13,0)</f>
        <v>37</v>
      </c>
      <c r="AS9" s="4">
        <f>VLOOKUP(InputData[[#This Row],[ASIN]],'[2]Report-april-math'!$A:$O,13,0)</f>
        <v>37</v>
      </c>
      <c r="AT9" s="4">
        <f>VLOOKUP(InputData[[#This Row],[ASIN]],'[2]Report-april-math'!$A:$O,13,0)</f>
        <v>37</v>
      </c>
      <c r="AW9" s="7">
        <v>7</v>
      </c>
      <c r="AX9" s="7"/>
      <c r="AY9" s="3">
        <v>0</v>
      </c>
      <c r="AZ9" s="18"/>
      <c r="BA9">
        <f>VLOOKUP(InputData[[#This Row],[ASIN]],'[2]BusinessReport-3-12-22'!$B:$R,17,0)</f>
        <v>19.95</v>
      </c>
      <c r="BB9">
        <f>InputData[[#This Row],[recom_retail_price]]*0.7</f>
        <v>13.964999999999998</v>
      </c>
    </row>
    <row r="10" spans="1:54">
      <c r="A10">
        <f t="shared" si="0"/>
        <v>8</v>
      </c>
      <c r="B10" s="5">
        <v>32881</v>
      </c>
      <c r="C10" s="33" t="s">
        <v>63</v>
      </c>
      <c r="D10" s="1" t="str">
        <f>VLOOKUP(InputData[[#This Row],[ASIN]],'[1]Master Data'!$A:$AV,5,0)</f>
        <v>Mature</v>
      </c>
      <c r="E10" s="1" t="str">
        <f>VLOOKUP(InputData[[#This Row],[ASIN]],'[1]Master Data'!$A:$AV,6,0)</f>
        <v>Whiskey Glasses Set of 4</v>
      </c>
      <c r="F10" s="34" t="s">
        <v>64</v>
      </c>
      <c r="G10">
        <f>VLOOKUP(InputData[[#This Row],[ASIN]],'[1]Master Data'!$A:$AV,8,0)</f>
        <v>208</v>
      </c>
      <c r="H10">
        <f>InputData[[#This Row],[IN_DELIVERY_UNITS1]]*InputData[[#This Row],[purchase_price]]</f>
        <v>4360.72</v>
      </c>
      <c r="I10" s="5">
        <f>VLOOKUP(InputData[[#This Row],[ASIN]],'[1]Master Data'!$A:$AV,9,0)</f>
        <v>44699</v>
      </c>
      <c r="J10" s="24"/>
      <c r="K10" s="31"/>
      <c r="L10" s="25"/>
      <c r="M10" s="24"/>
      <c r="N10" s="31"/>
      <c r="O10" s="25"/>
      <c r="P10" s="19">
        <v>500</v>
      </c>
      <c r="Q10" t="s">
        <v>48</v>
      </c>
      <c r="R10">
        <f>VLOOKUP(InputData[[#This Row],[ASIN]],'[1]Master Data'!$A:$AV,16,0)</f>
        <v>8</v>
      </c>
      <c r="S10" s="21">
        <f>VLOOKUP(InputData[[#This Row],[ASIN]],'[1]Master Data'!$A:$AV,17,0)</f>
        <v>18.100000000000001</v>
      </c>
      <c r="T10" s="21">
        <f>VLOOKUP(InputData[[#This Row],[ASIN]],'[1]Master Data'!$A:$AV,18,0)</f>
        <v>9.8000000000000007</v>
      </c>
      <c r="U10" s="21">
        <f>VLOOKUP(InputData[[#This Row],[ASIN]],'[1]Master Data'!$A:$AV,19,0)</f>
        <v>20.5</v>
      </c>
      <c r="V10" s="20">
        <f>VLOOKUP(InputData[[#This Row],[ASIN]],'[1]Master Data'!$A:$AV,20,0)</f>
        <v>30.86</v>
      </c>
      <c r="X10">
        <v>-1</v>
      </c>
      <c r="Y10" t="s">
        <v>49</v>
      </c>
      <c r="AL10" s="3">
        <f>VLOOKUP(InputData[[#This Row],[ASIN]],'[2]Report-april-math'!$A:$O,15,0)</f>
        <v>456</v>
      </c>
      <c r="AM10" s="3">
        <f>InputData[[#This Row],[QTY_AMZ]]*InputData[[#This Row],[purchase_price]]*1.02</f>
        <v>9751.2407999999996</v>
      </c>
      <c r="AN10" s="2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>NoSales</v>
      </c>
      <c r="AO10" s="4"/>
      <c r="AP10" s="4">
        <f>InputData[[#This Row],[WEEKLY_SALES_1_2_M]]</f>
        <v>0</v>
      </c>
      <c r="AQ10" s="4">
        <f>VLOOKUP(InputData[[#This Row],[ASIN]],'[2]Report-april-math'!$A:$O,13,0)</f>
        <v>26</v>
      </c>
      <c r="AR10" s="4">
        <f>VLOOKUP(InputData[[#This Row],[ASIN]],'[2]Report-april-math'!$A:$O,13,0)</f>
        <v>26</v>
      </c>
      <c r="AS10" s="4">
        <f>VLOOKUP(InputData[[#This Row],[ASIN]],'[2]Report-april-math'!$A:$O,13,0)</f>
        <v>26</v>
      </c>
      <c r="AT10" s="4">
        <f>VLOOKUP(InputData[[#This Row],[ASIN]],'[2]Report-april-math'!$A:$O,13,0)</f>
        <v>26</v>
      </c>
      <c r="AW10" s="7">
        <v>7</v>
      </c>
      <c r="AX10" s="7"/>
      <c r="AY10" s="3">
        <v>0</v>
      </c>
      <c r="AZ10" s="18"/>
      <c r="BA10">
        <f>VLOOKUP(InputData[[#This Row],[ASIN]],'[2]BusinessReport-3-12-22'!$B:$R,17,0)</f>
        <v>29.95</v>
      </c>
      <c r="BB10">
        <f>InputData[[#This Row],[recom_retail_price]]*0.7</f>
        <v>20.965</v>
      </c>
    </row>
    <row r="11" spans="1:54">
      <c r="A11">
        <f t="shared" si="0"/>
        <v>9</v>
      </c>
      <c r="B11" s="5">
        <v>32882</v>
      </c>
      <c r="C11" s="33" t="s">
        <v>65</v>
      </c>
      <c r="D11" s="1" t="str">
        <f>VLOOKUP(InputData[[#This Row],[ASIN]],'[1]Master Data'!$A:$AV,5,0)</f>
        <v>Mature</v>
      </c>
      <c r="E11" s="1" t="str">
        <f>VLOOKUP(InputData[[#This Row],[ASIN]],'[1]Master Data'!$A:$AV,6,0)</f>
        <v>Whiskey Glasses Set of 4</v>
      </c>
      <c r="F11" s="34" t="s">
        <v>66</v>
      </c>
      <c r="G11">
        <f>VLOOKUP(InputData[[#This Row],[ASIN]],'[1]Master Data'!$A:$AV,8,0)</f>
        <v>208</v>
      </c>
      <c r="H11">
        <f>InputData[[#This Row],[IN_DELIVERY_UNITS1]]*InputData[[#This Row],[purchase_price]]</f>
        <v>3638.5439999999999</v>
      </c>
      <c r="I11" s="5">
        <f>VLOOKUP(InputData[[#This Row],[ASIN]],'[1]Master Data'!$A:$AV,9,0)</f>
        <v>44699</v>
      </c>
      <c r="J11" s="24"/>
      <c r="K11" s="31"/>
      <c r="L11" s="25"/>
      <c r="M11" s="24"/>
      <c r="N11" s="31"/>
      <c r="O11" s="25"/>
      <c r="P11" s="19">
        <v>500</v>
      </c>
      <c r="Q11" t="s">
        <v>48</v>
      </c>
      <c r="R11">
        <f>VLOOKUP(InputData[[#This Row],[ASIN]],'[1]Master Data'!$A:$AV,16,0)</f>
        <v>8</v>
      </c>
      <c r="S11" s="21">
        <f>VLOOKUP(InputData[[#This Row],[ASIN]],'[1]Master Data'!$A:$AV,17,0)</f>
        <v>20.100000000000001</v>
      </c>
      <c r="T11" s="21">
        <f>VLOOKUP(InputData[[#This Row],[ASIN]],'[1]Master Data'!$A:$AV,18,0)</f>
        <v>10.4</v>
      </c>
      <c r="U11" s="21">
        <f>VLOOKUP(InputData[[#This Row],[ASIN]],'[1]Master Data'!$A:$AV,19,0)</f>
        <v>20.5</v>
      </c>
      <c r="V11" s="20">
        <f>VLOOKUP(InputData[[#This Row],[ASIN]],'[1]Master Data'!$A:$AV,20,0)</f>
        <v>34.83</v>
      </c>
      <c r="X11">
        <v>-1</v>
      </c>
      <c r="Y11" t="s">
        <v>49</v>
      </c>
      <c r="AL11" s="3">
        <f>VLOOKUP(InputData[[#This Row],[ASIN]],'[2]Report-april-math'!$A:$O,15,0)</f>
        <v>435</v>
      </c>
      <c r="AM11" s="3">
        <f>InputData[[#This Row],[QTY_AMZ]]*InputData[[#This Row],[purchase_price]]*1.02</f>
        <v>7761.6440999999995</v>
      </c>
      <c r="AN11" s="2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>NoSales</v>
      </c>
      <c r="AO11" s="4"/>
      <c r="AP11" s="4">
        <f>InputData[[#This Row],[WEEKLY_SALES_1_2_M]]</f>
        <v>0</v>
      </c>
      <c r="AQ11" s="4">
        <f>VLOOKUP(InputData[[#This Row],[ASIN]],'[2]Report-april-math'!$A:$O,13,0)</f>
        <v>2</v>
      </c>
      <c r="AR11" s="4">
        <f>VLOOKUP(InputData[[#This Row],[ASIN]],'[2]Report-april-math'!$A:$O,13,0)</f>
        <v>2</v>
      </c>
      <c r="AS11" s="4">
        <f>VLOOKUP(InputData[[#This Row],[ASIN]],'[2]Report-april-math'!$A:$O,13,0)</f>
        <v>2</v>
      </c>
      <c r="AT11" s="4">
        <f>VLOOKUP(InputData[[#This Row],[ASIN]],'[2]Report-april-math'!$A:$O,13,0)</f>
        <v>2</v>
      </c>
      <c r="AW11" s="7">
        <v>7</v>
      </c>
      <c r="AX11" s="7"/>
      <c r="AY11" s="3">
        <v>0</v>
      </c>
      <c r="AZ11" s="18"/>
      <c r="BA11">
        <f>VLOOKUP(InputData[[#This Row],[ASIN]],'[2]BusinessReport-3-12-22'!$B:$R,17,0)</f>
        <v>24.99</v>
      </c>
      <c r="BB11">
        <f>InputData[[#This Row],[recom_retail_price]]*0.7</f>
        <v>17.492999999999999</v>
      </c>
    </row>
    <row r="12" spans="1:54">
      <c r="A12">
        <f t="shared" si="0"/>
        <v>10</v>
      </c>
      <c r="B12" s="5">
        <v>32883</v>
      </c>
      <c r="C12" s="33" t="s">
        <v>67</v>
      </c>
      <c r="D12" s="1" t="str">
        <f>VLOOKUP(InputData[[#This Row],[ASIN]],'[1]Master Data'!$A:$AV,5,0)</f>
        <v>New product</v>
      </c>
      <c r="E12" s="1" t="str">
        <f>VLOOKUP(InputData[[#This Row],[ASIN]],'[1]Master Data'!$A:$AV,6,0)</f>
        <v>Whiskey Glasses Set of 2</v>
      </c>
      <c r="F12" s="34" t="s">
        <v>68</v>
      </c>
      <c r="G12">
        <f>VLOOKUP(InputData[[#This Row],[ASIN]],'[1]Master Data'!$A:$AV,8,0)</f>
        <v>408</v>
      </c>
      <c r="H12">
        <f>InputData[[#This Row],[IN_DELIVERY_UNITS1]]*InputData[[#This Row],[purchase_price]]</f>
        <v>5697.7199999999993</v>
      </c>
      <c r="I12" s="5">
        <f>VLOOKUP(InputData[[#This Row],[ASIN]],'[1]Master Data'!$A:$AV,9,0)</f>
        <v>44699</v>
      </c>
      <c r="J12" s="24"/>
      <c r="K12" s="31"/>
      <c r="L12" s="25"/>
      <c r="M12" s="24"/>
      <c r="N12" s="31"/>
      <c r="O12" s="25"/>
      <c r="P12" s="19">
        <v>500</v>
      </c>
      <c r="Q12" t="s">
        <v>48</v>
      </c>
      <c r="R12">
        <f>VLOOKUP(InputData[[#This Row],[ASIN]],'[1]Master Data'!$A:$AV,16,0)</f>
        <v>24</v>
      </c>
      <c r="S12" s="21">
        <f>VLOOKUP(InputData[[#This Row],[ASIN]],'[1]Master Data'!$A:$AV,17,0)</f>
        <v>18.100000000000001</v>
      </c>
      <c r="T12" s="21">
        <f>VLOOKUP(InputData[[#This Row],[ASIN]],'[1]Master Data'!$A:$AV,18,0)</f>
        <v>15</v>
      </c>
      <c r="U12" s="21">
        <f>VLOOKUP(InputData[[#This Row],[ASIN]],'[1]Master Data'!$A:$AV,19,0)</f>
        <v>20.5</v>
      </c>
      <c r="V12" s="20">
        <f>VLOOKUP(InputData[[#This Row],[ASIN]],'[1]Master Data'!$A:$AV,20,0)</f>
        <v>37.479999999999997</v>
      </c>
      <c r="X12">
        <v>-1</v>
      </c>
      <c r="Y12" t="s">
        <v>49</v>
      </c>
      <c r="AL12" s="3">
        <f>VLOOKUP(InputData[[#This Row],[ASIN]],'[2]Report-april-math'!$A:$O,15,0)</f>
        <v>867</v>
      </c>
      <c r="AM12" s="3">
        <f>InputData[[#This Row],[QTY_AMZ]]*InputData[[#This Row],[purchase_price]]*1.02</f>
        <v>12349.808099999998</v>
      </c>
      <c r="AN12" s="2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>NoSales</v>
      </c>
      <c r="AO12" s="4"/>
      <c r="AP12" s="4">
        <f>InputData[[#This Row],[WEEKLY_SALES_1_2_M]]</f>
        <v>0</v>
      </c>
      <c r="AQ12" s="4">
        <f>VLOOKUP(InputData[[#This Row],[ASIN]],'[2]Report-april-math'!$A:$O,13,0)</f>
        <v>8</v>
      </c>
      <c r="AR12" s="4">
        <f>VLOOKUP(InputData[[#This Row],[ASIN]],'[2]Report-april-math'!$A:$O,13,0)</f>
        <v>8</v>
      </c>
      <c r="AS12" s="4">
        <f>VLOOKUP(InputData[[#This Row],[ASIN]],'[2]Report-april-math'!$A:$O,13,0)</f>
        <v>8</v>
      </c>
      <c r="AT12" s="4">
        <f>VLOOKUP(InputData[[#This Row],[ASIN]],'[2]Report-april-math'!$A:$O,13,0)</f>
        <v>8</v>
      </c>
      <c r="AW12" s="7">
        <v>7</v>
      </c>
      <c r="AX12" s="7"/>
      <c r="AY12" s="3">
        <v>0</v>
      </c>
      <c r="AZ12" s="18"/>
      <c r="BA12">
        <v>19.95</v>
      </c>
      <c r="BB12">
        <f>InputData[[#This Row],[recom_retail_price]]*0.7</f>
        <v>13.964999999999998</v>
      </c>
    </row>
    <row r="13" spans="1:54">
      <c r="A13">
        <f t="shared" si="0"/>
        <v>11</v>
      </c>
      <c r="B13" s="5">
        <v>32884</v>
      </c>
      <c r="C13" s="33" t="s">
        <v>69</v>
      </c>
      <c r="D13" s="1" t="str">
        <f>VLOOKUP(InputData[[#This Row],[ASIN]],'[1]Master Data'!$A:$AV,5,0)</f>
        <v>Mature</v>
      </c>
      <c r="E13" s="1" t="str">
        <f>VLOOKUP(InputData[[#This Row],[ASIN]],'[1]Master Data'!$A:$AV,6,0)</f>
        <v>Whiskey Glasses Set of 4</v>
      </c>
      <c r="F13" s="34" t="s">
        <v>70</v>
      </c>
      <c r="G13">
        <f>VLOOKUP(InputData[[#This Row],[ASIN]],'[1]Master Data'!$A:$AV,8,0)</f>
        <v>208</v>
      </c>
      <c r="H13">
        <f>InputData[[#This Row],[IN_DELIVERY_UNITS1]]*InputData[[#This Row],[purchase_price]]</f>
        <v>4360.72</v>
      </c>
      <c r="I13" s="5">
        <f>VLOOKUP(InputData[[#This Row],[ASIN]],'[1]Master Data'!$A:$AV,9,0)</f>
        <v>44699</v>
      </c>
      <c r="J13" s="24"/>
      <c r="K13" s="31"/>
      <c r="L13" s="25"/>
      <c r="M13" s="24"/>
      <c r="N13" s="31"/>
      <c r="O13" s="25"/>
      <c r="P13" s="19">
        <v>500</v>
      </c>
      <c r="Q13" t="s">
        <v>48</v>
      </c>
      <c r="R13">
        <f>VLOOKUP(InputData[[#This Row],[ASIN]],'[1]Master Data'!$A:$AV,16,0)</f>
        <v>8</v>
      </c>
      <c r="S13" s="21">
        <f>VLOOKUP(InputData[[#This Row],[ASIN]],'[1]Master Data'!$A:$AV,17,0)</f>
        <v>18.100000000000001</v>
      </c>
      <c r="T13" s="21">
        <f>VLOOKUP(InputData[[#This Row],[ASIN]],'[1]Master Data'!$A:$AV,18,0)</f>
        <v>9.8000000000000007</v>
      </c>
      <c r="U13" s="21">
        <f>VLOOKUP(InputData[[#This Row],[ASIN]],'[1]Master Data'!$A:$AV,19,0)</f>
        <v>20.5</v>
      </c>
      <c r="V13" s="20">
        <f>VLOOKUP(InputData[[#This Row],[ASIN]],'[1]Master Data'!$A:$AV,20,0)</f>
        <v>30.86</v>
      </c>
      <c r="X13">
        <v>-1</v>
      </c>
      <c r="Y13" t="s">
        <v>49</v>
      </c>
      <c r="AL13" s="3">
        <f>VLOOKUP(InputData[[#This Row],[ASIN]],'[2]Report-april-math'!$A:$O,15,0)</f>
        <v>307</v>
      </c>
      <c r="AM13" s="3">
        <f>InputData[[#This Row],[QTY_AMZ]]*InputData[[#This Row],[purchase_price]]*1.02</f>
        <v>6564.9801000000007</v>
      </c>
      <c r="AN13" s="3" t="str">
        <f ca="1">IF(IFERROR(INT(7*(InputData[[#This Row],[QTY_AMZ]]+InputData[[#This Row],[IN_DELIVERY_UNITS1]])/InputData[[#This Row],[WEEKLY_SALES_3_4_M]]-InputData[[#This Row],[TYP_TIME_WH_FC1]]),0)&lt;0,"Need place order or check delivery",IF(IF(InputData[[#This Row],[IN_DELIVERY_ETA1]]&gt;1,InputData[[#This Row],[QTY_AMZ]]-INT((IF(InputData[[#This Row],[IN_DELIVERY_ETA1]]&lt;1,TODAY(),InputData[[#This Row],[IN_DELIVERY_ETA1]])-TODAY())*(InputData[[#This Row],[WEEKLY_SALES_1_2_M]]/60)),0)&lt;0,"WH Zero cross before arriving",IF(InputData[[#This Row],[QTY_AMZ]]=0,"NoStock ","")&amp;IF(InputData[[#This Row],[WEEKLY_SALES_3_4_M]]=0,"NoSales","")))</f>
        <v/>
      </c>
      <c r="AO13" s="4">
        <v>3</v>
      </c>
      <c r="AP13" s="4">
        <f>InputData[[#This Row],[WEEKLY_SALES_1_2_M]]</f>
        <v>3</v>
      </c>
      <c r="AQ13" s="4">
        <f>VLOOKUP(InputData[[#This Row],[ASIN]],'[2]Report-april-math'!$A:$O,13,0)</f>
        <v>6</v>
      </c>
      <c r="AR13" s="4">
        <f>VLOOKUP(InputData[[#This Row],[ASIN]],'[2]Report-april-math'!$A:$O,13,0)</f>
        <v>6</v>
      </c>
      <c r="AS13" s="4">
        <f>VLOOKUP(InputData[[#This Row],[ASIN]],'[2]Report-april-math'!$A:$O,13,0)</f>
        <v>6</v>
      </c>
      <c r="AT13" s="4">
        <f>VLOOKUP(InputData[[#This Row],[ASIN]],'[2]Report-april-math'!$A:$O,13,0)</f>
        <v>6</v>
      </c>
      <c r="AV13" t="s">
        <v>50</v>
      </c>
      <c r="AW13" s="7">
        <v>7</v>
      </c>
      <c r="AX13" s="7"/>
      <c r="AY13" s="3">
        <v>0</v>
      </c>
      <c r="AZ13" s="17"/>
      <c r="BA13">
        <v>29.95</v>
      </c>
      <c r="BB13">
        <f>InputData[[#This Row],[recom_retail_price]]*0.7</f>
        <v>20.965</v>
      </c>
    </row>
  </sheetData>
  <phoneticPr fontId="3" type="noConversion"/>
  <conditionalFormatting sqref="AL3:AN13 G3:Y13">
    <cfRule type="cellIs" dxfId="31" priority="18" operator="equal">
      <formula>0</formula>
    </cfRule>
  </conditionalFormatting>
  <conditionalFormatting sqref="Z3:Z13 AB3:AB13 AD3:AK13">
    <cfRule type="cellIs" dxfId="30" priority="17" operator="equal">
      <formula>0</formula>
    </cfRule>
  </conditionalFormatting>
  <conditionalFormatting sqref="C3:F13">
    <cfRule type="cellIs" dxfId="29" priority="15" operator="equal">
      <formula>0</formula>
    </cfRule>
  </conditionalFormatting>
  <conditionalFormatting sqref="AO3:AT13">
    <cfRule type="cellIs" dxfId="28" priority="14" operator="equal">
      <formula>0</formula>
    </cfRule>
  </conditionalFormatting>
  <conditionalFormatting sqref="AU3:AU13">
    <cfRule type="cellIs" dxfId="27" priority="13" operator="equal">
      <formula>0</formula>
    </cfRule>
  </conditionalFormatting>
  <conditionalFormatting sqref="AV3:AV13">
    <cfRule type="cellIs" dxfId="26" priority="12" operator="equal">
      <formula>0</formula>
    </cfRule>
  </conditionalFormatting>
  <conditionalFormatting sqref="AW3:AW13">
    <cfRule type="cellIs" dxfId="25" priority="11" operator="equal">
      <formula>0</formula>
    </cfRule>
  </conditionalFormatting>
  <conditionalFormatting sqref="AY3:AZ13">
    <cfRule type="cellIs" dxfId="24" priority="10" operator="equal">
      <formula>0</formula>
    </cfRule>
  </conditionalFormatting>
  <conditionalFormatting sqref="B3:B13">
    <cfRule type="expression" dxfId="23" priority="5" stopIfTrue="1">
      <formula>$B3&lt;=TODAY()-90</formula>
    </cfRule>
    <cfRule type="expression" dxfId="22" priority="6" stopIfTrue="1">
      <formula>$B3&gt;TODAY()-3</formula>
    </cfRule>
    <cfRule type="expression" dxfId="21" priority="7" stopIfTrue="1">
      <formula>$B3&gt;TODAY()-10</formula>
    </cfRule>
    <cfRule type="expression" dxfId="20" priority="8">
      <formula>$B3&gt;TODAY()-90</formula>
    </cfRule>
  </conditionalFormatting>
  <conditionalFormatting sqref="AC3:AC13">
    <cfRule type="cellIs" dxfId="19" priority="3" operator="equal">
      <formula>0</formula>
    </cfRule>
  </conditionalFormatting>
  <conditionalFormatting sqref="AA3:AA13">
    <cfRule type="cellIs" dxfId="18" priority="2" operator="equal">
      <formula>0</formula>
    </cfRule>
  </conditionalFormatting>
  <conditionalFormatting sqref="AX3:AX13">
    <cfRule type="cellIs" dxfId="17" priority="1" operator="equal">
      <formula>0</formula>
    </cfRule>
  </conditionalFormatting>
  <dataValidations count="5">
    <dataValidation type="whole" allowBlank="1" showInputMessage="1" showErrorMessage="1" sqref="J3:K13 M3:N13 P3:P13" xr:uid="{83F50E70-1166-4A45-8926-2AB3A3259DDE}">
      <formula1>0</formula1>
      <formula2>10000000000</formula2>
    </dataValidation>
    <dataValidation type="whole" allowBlank="1" showInputMessage="1" showErrorMessage="1" sqref="W3:W13" xr:uid="{D22AF1B1-48A7-41B5-9E1C-DBDC53E05597}">
      <formula1>10</formula1>
      <formula2>100</formula2>
    </dataValidation>
    <dataValidation type="list" allowBlank="1" showInputMessage="1" showErrorMessage="1" sqref="AV3:AV13" xr:uid="{BB184A47-9458-4B04-888D-FBA57FC07A25}">
      <formula1>"Standard,Oversize"</formula1>
    </dataValidation>
    <dataValidation type="date" allowBlank="1" showInputMessage="1" showErrorMessage="1" sqref="O3:O13 L3:L13 I3:I13" xr:uid="{551BB2BA-177D-4F2A-9EEB-FAB92FF5A600}">
      <formula1>TODAY()</formula1>
      <formula2>TODAY()+365</formula2>
    </dataValidation>
    <dataValidation type="list" allowBlank="1" showInputMessage="1" showErrorMessage="1" sqref="D3:D13" xr:uid="{7FCB3DD3-59BB-4CEB-82F7-9461B8F57E05}">
      <formula1>"Not sold,New product,Mature,End of life"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" r:id="rId4" name="Button 43">
              <controlPr defaultSize="0" print="0" autoFill="0" autoPict="0" macro="[0]!Add_delivery">
                <anchor moveWithCells="1" sizeWithCells="1">
                  <from>
                    <xdr:col>8</xdr:col>
                    <xdr:colOff>419100</xdr:colOff>
                    <xdr:row>0</xdr:row>
                    <xdr:rowOff>15240</xdr:rowOff>
                  </from>
                  <to>
                    <xdr:col>8</xdr:col>
                    <xdr:colOff>1363980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Button 44">
              <controlPr defaultSize="0" print="0" autoFill="0" autoPict="0" macro="[0]!add_delivery2">
                <anchor moveWithCells="1" sizeWithCells="1">
                  <from>
                    <xdr:col>11</xdr:col>
                    <xdr:colOff>312420</xdr:colOff>
                    <xdr:row>0</xdr:row>
                    <xdr:rowOff>22860</xdr:rowOff>
                  </from>
                  <to>
                    <xdr:col>11</xdr:col>
                    <xdr:colOff>1363980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Button 45">
              <controlPr defaultSize="0" print="0" autoFill="0" autoPict="0" macro="[0]!Hide_extra_deliveries">
                <anchor moveWithCells="1" sizeWithCells="1">
                  <from>
                    <xdr:col>14</xdr:col>
                    <xdr:colOff>60960</xdr:colOff>
                    <xdr:row>0</xdr:row>
                    <xdr:rowOff>22860</xdr:rowOff>
                  </from>
                  <to>
                    <xdr:col>14</xdr:col>
                    <xdr:colOff>1501140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0EBBA-1FA7-4E2B-8837-07D31C228B5A}">
  <sheetPr codeName="Лист2"/>
  <dimension ref="A1:D3"/>
  <sheetViews>
    <sheetView workbookViewId="0">
      <selection activeCell="B2" sqref="B2"/>
    </sheetView>
  </sheetViews>
  <sheetFormatPr defaultRowHeight="14.4"/>
  <cols>
    <col min="2" max="2" width="25.109375" customWidth="1"/>
  </cols>
  <sheetData>
    <row r="1" spans="1:4">
      <c r="A1" t="s">
        <v>71</v>
      </c>
      <c r="B1" t="s">
        <v>72</v>
      </c>
      <c r="C1" t="s">
        <v>73</v>
      </c>
      <c r="D1" t="s">
        <v>74</v>
      </c>
    </row>
    <row r="2" spans="1:4">
      <c r="B2" t="s">
        <v>75</v>
      </c>
      <c r="C2">
        <v>14887</v>
      </c>
    </row>
    <row r="3" spans="1:4">
      <c r="B3" t="s">
        <v>76</v>
      </c>
      <c r="C3">
        <v>32338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60C8-1A95-45BF-882E-C8B30B5200F1}">
  <sheetPr codeName="Лист3"/>
  <dimension ref="A1:J2"/>
  <sheetViews>
    <sheetView workbookViewId="0">
      <selection activeCell="A2" sqref="A2"/>
    </sheetView>
  </sheetViews>
  <sheetFormatPr defaultRowHeight="14.4"/>
  <cols>
    <col min="1" max="1" width="11.88671875" customWidth="1"/>
    <col min="2" max="5" width="21" bestFit="1" customWidth="1"/>
    <col min="6" max="6" width="22.109375" bestFit="1" customWidth="1"/>
    <col min="7" max="7" width="23.109375" bestFit="1" customWidth="1"/>
    <col min="9" max="9" width="28.21875" bestFit="1" customWidth="1"/>
  </cols>
  <sheetData>
    <row r="1" spans="1:10">
      <c r="A1" t="s">
        <v>71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I1" s="28" t="s">
        <v>40</v>
      </c>
    </row>
    <row r="2" spans="1:10">
      <c r="I2" t="s">
        <v>78</v>
      </c>
      <c r="J2" t="s">
        <v>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0761DC-1F70-4560-B7B9-0496E018F8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Master Data</vt:lpstr>
      <vt:lpstr>Utilization Quantities</vt:lpstr>
      <vt:lpstr>Seasonality</vt:lpstr>
      <vt:lpstr>MasterData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</dc:creator>
  <cp:keywords/>
  <dc:description/>
  <cp:lastModifiedBy>golan</cp:lastModifiedBy>
  <cp:revision/>
  <dcterms:created xsi:type="dcterms:W3CDTF">2015-06-05T18:17:20Z</dcterms:created>
  <dcterms:modified xsi:type="dcterms:W3CDTF">2022-05-13T13:22:24Z</dcterms:modified>
  <cp:category/>
  <cp:contentStatus/>
</cp:coreProperties>
</file>